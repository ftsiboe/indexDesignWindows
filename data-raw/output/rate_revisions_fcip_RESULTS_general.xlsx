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tsib\Dropbox (Personal)\GitHub\journals\fcipRateRevisions\data-raw\output\"/>
    </mc:Choice>
  </mc:AlternateContent>
  <xr:revisionPtr revIDLastSave="0" documentId="13_ncr:1_{71E37AB1-7ECB-4B9E-9D92-0A0AF9635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3" r:id="rId1"/>
  </sheets>
  <definedNames>
    <definedName name="_xlnm._FilterDatabase" localSheetId="0" hidden="1">Table1!$A$1:$E$495</definedName>
    <definedName name="t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63" i="3" l="1"/>
  <c r="K763" i="3"/>
  <c r="J763" i="3"/>
  <c r="I763" i="3"/>
  <c r="L762" i="3"/>
  <c r="K762" i="3"/>
  <c r="J762" i="3"/>
  <c r="I762" i="3"/>
  <c r="L761" i="3"/>
  <c r="K761" i="3"/>
  <c r="J761" i="3"/>
  <c r="I761" i="3"/>
  <c r="L760" i="3"/>
  <c r="K760" i="3"/>
  <c r="J760" i="3"/>
  <c r="I760" i="3"/>
  <c r="L759" i="3"/>
  <c r="K759" i="3"/>
  <c r="J759" i="3"/>
  <c r="I759" i="3"/>
  <c r="L758" i="3"/>
  <c r="K758" i="3"/>
  <c r="J758" i="3"/>
  <c r="I758" i="3"/>
  <c r="L757" i="3"/>
  <c r="K757" i="3"/>
  <c r="J757" i="3"/>
  <c r="I757" i="3"/>
  <c r="L756" i="3"/>
  <c r="K756" i="3"/>
  <c r="J756" i="3"/>
  <c r="I756" i="3"/>
  <c r="L755" i="3"/>
  <c r="K755" i="3"/>
  <c r="J755" i="3"/>
  <c r="I755" i="3"/>
  <c r="L754" i="3"/>
  <c r="K754" i="3"/>
  <c r="J754" i="3"/>
  <c r="I754" i="3"/>
  <c r="L753" i="3"/>
  <c r="K753" i="3"/>
  <c r="J753" i="3"/>
  <c r="I753" i="3"/>
  <c r="L752" i="3"/>
  <c r="K752" i="3"/>
  <c r="J752" i="3"/>
  <c r="I752" i="3"/>
  <c r="L751" i="3"/>
  <c r="K751" i="3"/>
  <c r="J751" i="3"/>
  <c r="I751" i="3"/>
  <c r="L750" i="3"/>
  <c r="K750" i="3"/>
  <c r="J750" i="3"/>
  <c r="I750" i="3"/>
  <c r="L749" i="3"/>
  <c r="K749" i="3"/>
  <c r="J749" i="3"/>
  <c r="I749" i="3"/>
  <c r="L748" i="3"/>
  <c r="K748" i="3"/>
  <c r="J748" i="3"/>
  <c r="I748" i="3"/>
  <c r="L747" i="3"/>
  <c r="K747" i="3"/>
  <c r="J747" i="3"/>
  <c r="I747" i="3"/>
  <c r="L746" i="3"/>
  <c r="K746" i="3"/>
  <c r="J746" i="3"/>
  <c r="I746" i="3"/>
  <c r="L745" i="3"/>
  <c r="K745" i="3"/>
  <c r="J745" i="3"/>
  <c r="I745" i="3"/>
  <c r="L744" i="3"/>
  <c r="K744" i="3"/>
  <c r="J744" i="3"/>
  <c r="I744" i="3"/>
  <c r="L743" i="3"/>
  <c r="K743" i="3"/>
  <c r="J743" i="3"/>
  <c r="I743" i="3"/>
  <c r="L742" i="3"/>
  <c r="K742" i="3"/>
  <c r="J742" i="3"/>
  <c r="I742" i="3"/>
  <c r="L741" i="3"/>
  <c r="K741" i="3"/>
  <c r="J741" i="3"/>
  <c r="I741" i="3"/>
  <c r="L740" i="3"/>
  <c r="K740" i="3"/>
  <c r="J740" i="3"/>
  <c r="I740" i="3"/>
  <c r="L739" i="3"/>
  <c r="K739" i="3"/>
  <c r="J739" i="3"/>
  <c r="I739" i="3"/>
  <c r="L738" i="3"/>
  <c r="K738" i="3"/>
  <c r="J738" i="3"/>
  <c r="I738" i="3"/>
  <c r="L737" i="3"/>
  <c r="K737" i="3"/>
  <c r="J737" i="3"/>
  <c r="I737" i="3"/>
  <c r="L736" i="3"/>
  <c r="K736" i="3"/>
  <c r="J736" i="3"/>
  <c r="I736" i="3"/>
  <c r="L735" i="3"/>
  <c r="K735" i="3"/>
  <c r="J735" i="3"/>
  <c r="I735" i="3"/>
  <c r="L734" i="3"/>
  <c r="K734" i="3"/>
  <c r="J734" i="3"/>
  <c r="I734" i="3"/>
  <c r="L733" i="3"/>
  <c r="K733" i="3"/>
  <c r="J733" i="3"/>
  <c r="I733" i="3"/>
  <c r="L732" i="3"/>
  <c r="K732" i="3"/>
  <c r="J732" i="3"/>
  <c r="I732" i="3"/>
  <c r="L731" i="3"/>
  <c r="K731" i="3"/>
  <c r="J731" i="3"/>
  <c r="I731" i="3"/>
  <c r="L730" i="3"/>
  <c r="K730" i="3"/>
  <c r="J730" i="3"/>
  <c r="I730" i="3"/>
  <c r="L729" i="3"/>
  <c r="K729" i="3"/>
  <c r="J729" i="3"/>
  <c r="I729" i="3"/>
  <c r="L728" i="3"/>
  <c r="K728" i="3"/>
  <c r="J728" i="3"/>
  <c r="I728" i="3"/>
  <c r="L727" i="3"/>
  <c r="K727" i="3"/>
  <c r="J727" i="3"/>
  <c r="I727" i="3"/>
  <c r="L726" i="3"/>
  <c r="K726" i="3"/>
  <c r="J726" i="3"/>
  <c r="I726" i="3"/>
  <c r="L725" i="3"/>
  <c r="K725" i="3"/>
  <c r="J725" i="3"/>
  <c r="I725" i="3"/>
  <c r="L724" i="3"/>
  <c r="K724" i="3"/>
  <c r="J724" i="3"/>
  <c r="I724" i="3"/>
  <c r="L723" i="3"/>
  <c r="K723" i="3"/>
  <c r="J723" i="3"/>
  <c r="I723" i="3"/>
  <c r="L722" i="3"/>
  <c r="K722" i="3"/>
  <c r="J722" i="3"/>
  <c r="I722" i="3"/>
  <c r="L721" i="3"/>
  <c r="K721" i="3"/>
  <c r="J721" i="3"/>
  <c r="I721" i="3"/>
  <c r="L720" i="3"/>
  <c r="K720" i="3"/>
  <c r="J720" i="3"/>
  <c r="I720" i="3"/>
  <c r="L719" i="3"/>
  <c r="K719" i="3"/>
  <c r="J719" i="3"/>
  <c r="I719" i="3"/>
  <c r="L718" i="3"/>
  <c r="K718" i="3"/>
  <c r="J718" i="3"/>
  <c r="I718" i="3"/>
  <c r="L717" i="3"/>
  <c r="K717" i="3"/>
  <c r="J717" i="3"/>
  <c r="I717" i="3"/>
  <c r="L716" i="3"/>
  <c r="K716" i="3"/>
  <c r="J716" i="3"/>
  <c r="I716" i="3"/>
  <c r="L715" i="3"/>
  <c r="K715" i="3"/>
  <c r="J715" i="3"/>
  <c r="I715" i="3"/>
  <c r="L714" i="3"/>
  <c r="K714" i="3"/>
  <c r="J714" i="3"/>
  <c r="I714" i="3"/>
  <c r="L713" i="3"/>
  <c r="K713" i="3"/>
  <c r="J713" i="3"/>
  <c r="I713" i="3"/>
  <c r="L712" i="3"/>
  <c r="K712" i="3"/>
  <c r="J712" i="3"/>
  <c r="I712" i="3"/>
  <c r="L711" i="3"/>
  <c r="K711" i="3"/>
  <c r="J711" i="3"/>
  <c r="I711" i="3"/>
  <c r="L710" i="3"/>
  <c r="K710" i="3"/>
  <c r="J710" i="3"/>
  <c r="I710" i="3"/>
  <c r="L709" i="3"/>
  <c r="K709" i="3"/>
  <c r="J709" i="3"/>
  <c r="I709" i="3"/>
  <c r="L708" i="3"/>
  <c r="K708" i="3"/>
  <c r="J708" i="3"/>
  <c r="I708" i="3"/>
  <c r="L707" i="3"/>
  <c r="K707" i="3"/>
  <c r="J707" i="3"/>
  <c r="I707" i="3"/>
  <c r="L706" i="3"/>
  <c r="K706" i="3"/>
  <c r="J706" i="3"/>
  <c r="I706" i="3"/>
  <c r="L705" i="3"/>
  <c r="K705" i="3"/>
  <c r="J705" i="3"/>
  <c r="I705" i="3"/>
  <c r="L704" i="3"/>
  <c r="K704" i="3"/>
  <c r="J704" i="3"/>
  <c r="I704" i="3"/>
  <c r="L703" i="3"/>
  <c r="K703" i="3"/>
  <c r="J703" i="3"/>
  <c r="I703" i="3"/>
  <c r="L702" i="3"/>
  <c r="K702" i="3"/>
  <c r="J702" i="3"/>
  <c r="I702" i="3"/>
  <c r="L701" i="3"/>
  <c r="K701" i="3"/>
  <c r="J701" i="3"/>
  <c r="I701" i="3"/>
  <c r="L700" i="3"/>
  <c r="K700" i="3"/>
  <c r="J700" i="3"/>
  <c r="I700" i="3"/>
  <c r="L699" i="3"/>
  <c r="K699" i="3"/>
  <c r="J699" i="3"/>
  <c r="I699" i="3"/>
  <c r="L698" i="3"/>
  <c r="K698" i="3"/>
  <c r="J698" i="3"/>
  <c r="I698" i="3"/>
  <c r="L697" i="3"/>
  <c r="K697" i="3"/>
  <c r="J697" i="3"/>
  <c r="I697" i="3"/>
  <c r="L696" i="3"/>
  <c r="K696" i="3"/>
  <c r="J696" i="3"/>
  <c r="I696" i="3"/>
  <c r="L695" i="3"/>
  <c r="K695" i="3"/>
  <c r="J695" i="3"/>
  <c r="I695" i="3"/>
  <c r="L694" i="3"/>
  <c r="K694" i="3"/>
  <c r="J694" i="3"/>
  <c r="I694" i="3"/>
  <c r="L693" i="3"/>
  <c r="K693" i="3"/>
  <c r="J693" i="3"/>
  <c r="I693" i="3"/>
  <c r="L692" i="3"/>
  <c r="K692" i="3"/>
  <c r="J692" i="3"/>
  <c r="I692" i="3"/>
  <c r="L691" i="3"/>
  <c r="K691" i="3"/>
  <c r="J691" i="3"/>
  <c r="I691" i="3"/>
  <c r="L690" i="3"/>
  <c r="K690" i="3"/>
  <c r="J690" i="3"/>
  <c r="I690" i="3"/>
  <c r="L689" i="3"/>
  <c r="K689" i="3"/>
  <c r="J689" i="3"/>
  <c r="I689" i="3"/>
  <c r="L688" i="3"/>
  <c r="K688" i="3"/>
  <c r="J688" i="3"/>
  <c r="I688" i="3"/>
  <c r="L687" i="3"/>
  <c r="K687" i="3"/>
  <c r="J687" i="3"/>
  <c r="I687" i="3"/>
  <c r="L686" i="3"/>
  <c r="K686" i="3"/>
  <c r="J686" i="3"/>
  <c r="I686" i="3"/>
  <c r="L685" i="3"/>
  <c r="K685" i="3"/>
  <c r="J685" i="3"/>
  <c r="I685" i="3"/>
  <c r="L684" i="3"/>
  <c r="K684" i="3"/>
  <c r="J684" i="3"/>
  <c r="I684" i="3"/>
  <c r="L683" i="3"/>
  <c r="K683" i="3"/>
  <c r="J683" i="3"/>
  <c r="I683" i="3"/>
  <c r="L682" i="3"/>
  <c r="K682" i="3"/>
  <c r="J682" i="3"/>
  <c r="I682" i="3"/>
  <c r="L681" i="3"/>
  <c r="K681" i="3"/>
  <c r="J681" i="3"/>
  <c r="I681" i="3"/>
  <c r="L680" i="3"/>
  <c r="K680" i="3"/>
  <c r="J680" i="3"/>
  <c r="I680" i="3"/>
  <c r="L679" i="3"/>
  <c r="K679" i="3"/>
  <c r="J679" i="3"/>
  <c r="I679" i="3"/>
  <c r="L678" i="3"/>
  <c r="K678" i="3"/>
  <c r="J678" i="3"/>
  <c r="I678" i="3"/>
  <c r="L677" i="3"/>
  <c r="K677" i="3"/>
  <c r="J677" i="3"/>
  <c r="I677" i="3"/>
  <c r="L676" i="3"/>
  <c r="K676" i="3"/>
  <c r="J676" i="3"/>
  <c r="I676" i="3"/>
  <c r="L675" i="3"/>
  <c r="K675" i="3"/>
  <c r="J675" i="3"/>
  <c r="I675" i="3"/>
  <c r="L674" i="3"/>
  <c r="K674" i="3"/>
  <c r="J674" i="3"/>
  <c r="I674" i="3"/>
  <c r="L673" i="3"/>
  <c r="K673" i="3"/>
  <c r="J673" i="3"/>
  <c r="I673" i="3"/>
  <c r="L672" i="3"/>
  <c r="K672" i="3"/>
  <c r="J672" i="3"/>
  <c r="I672" i="3"/>
  <c r="L671" i="3"/>
  <c r="K671" i="3"/>
  <c r="J671" i="3"/>
  <c r="I671" i="3"/>
  <c r="L670" i="3"/>
  <c r="K670" i="3"/>
  <c r="J670" i="3"/>
  <c r="I670" i="3"/>
  <c r="L669" i="3"/>
  <c r="K669" i="3"/>
  <c r="J669" i="3"/>
  <c r="I669" i="3"/>
  <c r="L668" i="3"/>
  <c r="K668" i="3"/>
  <c r="J668" i="3"/>
  <c r="I668" i="3"/>
  <c r="L667" i="3"/>
  <c r="K667" i="3"/>
  <c r="J667" i="3"/>
  <c r="I667" i="3"/>
  <c r="L666" i="3"/>
  <c r="K666" i="3"/>
  <c r="J666" i="3"/>
  <c r="I666" i="3"/>
  <c r="L665" i="3"/>
  <c r="K665" i="3"/>
  <c r="J665" i="3"/>
  <c r="I665" i="3"/>
  <c r="L664" i="3"/>
  <c r="K664" i="3"/>
  <c r="J664" i="3"/>
  <c r="I664" i="3"/>
  <c r="L663" i="3"/>
  <c r="K663" i="3"/>
  <c r="J663" i="3"/>
  <c r="I663" i="3"/>
  <c r="L662" i="3"/>
  <c r="K662" i="3"/>
  <c r="J662" i="3"/>
  <c r="I662" i="3"/>
  <c r="L661" i="3"/>
  <c r="K661" i="3"/>
  <c r="J661" i="3"/>
  <c r="I661" i="3"/>
  <c r="L660" i="3"/>
  <c r="K660" i="3"/>
  <c r="J660" i="3"/>
  <c r="I660" i="3"/>
  <c r="L659" i="3"/>
  <c r="K659" i="3"/>
  <c r="J659" i="3"/>
  <c r="I659" i="3"/>
  <c r="L658" i="3"/>
  <c r="K658" i="3"/>
  <c r="J658" i="3"/>
  <c r="I658" i="3"/>
  <c r="L657" i="3"/>
  <c r="K657" i="3"/>
  <c r="J657" i="3"/>
  <c r="I657" i="3"/>
  <c r="L656" i="3"/>
  <c r="K656" i="3"/>
  <c r="J656" i="3"/>
  <c r="I656" i="3"/>
  <c r="L655" i="3"/>
  <c r="K655" i="3"/>
  <c r="J655" i="3"/>
  <c r="I655" i="3"/>
  <c r="L654" i="3"/>
  <c r="K654" i="3"/>
  <c r="J654" i="3"/>
  <c r="I654" i="3"/>
  <c r="L653" i="3"/>
  <c r="K653" i="3"/>
  <c r="J653" i="3"/>
  <c r="I653" i="3"/>
  <c r="L652" i="3"/>
  <c r="K652" i="3"/>
  <c r="J652" i="3"/>
  <c r="I652" i="3"/>
  <c r="L651" i="3"/>
  <c r="K651" i="3"/>
  <c r="J651" i="3"/>
  <c r="I651" i="3"/>
  <c r="L650" i="3"/>
  <c r="K650" i="3"/>
  <c r="J650" i="3"/>
  <c r="I650" i="3"/>
  <c r="L649" i="3"/>
  <c r="K649" i="3"/>
  <c r="J649" i="3"/>
  <c r="I649" i="3"/>
  <c r="L648" i="3"/>
  <c r="K648" i="3"/>
  <c r="J648" i="3"/>
  <c r="I648" i="3"/>
  <c r="L647" i="3"/>
  <c r="K647" i="3"/>
  <c r="J647" i="3"/>
  <c r="I647" i="3"/>
  <c r="L646" i="3"/>
  <c r="K646" i="3"/>
  <c r="J646" i="3"/>
  <c r="I646" i="3"/>
  <c r="L645" i="3"/>
  <c r="K645" i="3"/>
  <c r="J645" i="3"/>
  <c r="I645" i="3"/>
  <c r="L644" i="3"/>
  <c r="K644" i="3"/>
  <c r="J644" i="3"/>
  <c r="I644" i="3"/>
  <c r="L643" i="3"/>
  <c r="K643" i="3"/>
  <c r="J643" i="3"/>
  <c r="I643" i="3"/>
  <c r="L642" i="3"/>
  <c r="K642" i="3"/>
  <c r="J642" i="3"/>
  <c r="I642" i="3"/>
  <c r="L641" i="3"/>
  <c r="K641" i="3"/>
  <c r="J641" i="3"/>
  <c r="I641" i="3"/>
  <c r="L640" i="3"/>
  <c r="K640" i="3"/>
  <c r="J640" i="3"/>
  <c r="I640" i="3"/>
  <c r="L639" i="3"/>
  <c r="K639" i="3"/>
  <c r="J639" i="3"/>
  <c r="I639" i="3"/>
  <c r="L638" i="3"/>
  <c r="K638" i="3"/>
  <c r="J638" i="3"/>
  <c r="I638" i="3"/>
  <c r="L637" i="3"/>
  <c r="K637" i="3"/>
  <c r="J637" i="3"/>
  <c r="I637" i="3"/>
  <c r="L636" i="3"/>
  <c r="K636" i="3"/>
  <c r="J636" i="3"/>
  <c r="I636" i="3"/>
  <c r="L635" i="3"/>
  <c r="K635" i="3"/>
  <c r="J635" i="3"/>
  <c r="I635" i="3"/>
  <c r="L634" i="3"/>
  <c r="K634" i="3"/>
  <c r="J634" i="3"/>
  <c r="I634" i="3"/>
  <c r="L633" i="3"/>
  <c r="K633" i="3"/>
  <c r="J633" i="3"/>
  <c r="I633" i="3"/>
  <c r="L632" i="3"/>
  <c r="K632" i="3"/>
  <c r="J632" i="3"/>
  <c r="I632" i="3"/>
  <c r="L631" i="3"/>
  <c r="K631" i="3"/>
  <c r="J631" i="3"/>
  <c r="I631" i="3"/>
  <c r="L630" i="3"/>
  <c r="K630" i="3"/>
  <c r="J630" i="3"/>
  <c r="I630" i="3"/>
  <c r="L629" i="3"/>
  <c r="K629" i="3"/>
  <c r="J629" i="3"/>
  <c r="I629" i="3"/>
  <c r="L628" i="3"/>
  <c r="K628" i="3"/>
  <c r="J628" i="3"/>
  <c r="I628" i="3"/>
  <c r="L627" i="3"/>
  <c r="K627" i="3"/>
  <c r="J627" i="3"/>
  <c r="I627" i="3"/>
  <c r="L626" i="3"/>
  <c r="K626" i="3"/>
  <c r="J626" i="3"/>
  <c r="I626" i="3"/>
  <c r="L625" i="3"/>
  <c r="K625" i="3"/>
  <c r="J625" i="3"/>
  <c r="I625" i="3"/>
  <c r="L624" i="3"/>
  <c r="K624" i="3"/>
  <c r="J624" i="3"/>
  <c r="I624" i="3"/>
  <c r="L623" i="3"/>
  <c r="K623" i="3"/>
  <c r="J623" i="3"/>
  <c r="I623" i="3"/>
  <c r="L622" i="3"/>
  <c r="K622" i="3"/>
  <c r="J622" i="3"/>
  <c r="I622" i="3"/>
  <c r="L621" i="3"/>
  <c r="K621" i="3"/>
  <c r="J621" i="3"/>
  <c r="I621" i="3"/>
  <c r="L620" i="3"/>
  <c r="K620" i="3"/>
  <c r="J620" i="3"/>
  <c r="I620" i="3"/>
  <c r="L619" i="3"/>
  <c r="K619" i="3"/>
  <c r="J619" i="3"/>
  <c r="I619" i="3"/>
  <c r="L618" i="3"/>
  <c r="K618" i="3"/>
  <c r="J618" i="3"/>
  <c r="I618" i="3"/>
  <c r="L617" i="3"/>
  <c r="K617" i="3"/>
  <c r="J617" i="3"/>
  <c r="I617" i="3"/>
  <c r="L616" i="3"/>
  <c r="K616" i="3"/>
  <c r="J616" i="3"/>
  <c r="I616" i="3"/>
  <c r="L615" i="3"/>
  <c r="K615" i="3"/>
  <c r="J615" i="3"/>
  <c r="I615" i="3"/>
  <c r="L614" i="3"/>
  <c r="K614" i="3"/>
  <c r="J614" i="3"/>
  <c r="I614" i="3"/>
  <c r="L613" i="3"/>
  <c r="K613" i="3"/>
  <c r="J613" i="3"/>
  <c r="I613" i="3"/>
  <c r="L612" i="3"/>
  <c r="K612" i="3"/>
  <c r="J612" i="3"/>
  <c r="I612" i="3"/>
  <c r="L611" i="3"/>
  <c r="K611" i="3"/>
  <c r="J611" i="3"/>
  <c r="I611" i="3"/>
  <c r="L610" i="3"/>
  <c r="K610" i="3"/>
  <c r="J610" i="3"/>
  <c r="I610" i="3"/>
  <c r="L609" i="3"/>
  <c r="K609" i="3"/>
  <c r="J609" i="3"/>
  <c r="I609" i="3"/>
  <c r="L608" i="3"/>
  <c r="K608" i="3"/>
  <c r="J608" i="3"/>
  <c r="I608" i="3"/>
  <c r="L607" i="3"/>
  <c r="K607" i="3"/>
  <c r="J607" i="3"/>
  <c r="I607" i="3"/>
  <c r="L606" i="3"/>
  <c r="K606" i="3"/>
  <c r="J606" i="3"/>
  <c r="I606" i="3"/>
  <c r="L605" i="3"/>
  <c r="K605" i="3"/>
  <c r="J605" i="3"/>
  <c r="I605" i="3"/>
  <c r="L604" i="3"/>
  <c r="K604" i="3"/>
  <c r="J604" i="3"/>
  <c r="I604" i="3"/>
  <c r="L603" i="3"/>
  <c r="K603" i="3"/>
  <c r="J603" i="3"/>
  <c r="I603" i="3"/>
  <c r="L602" i="3"/>
  <c r="K602" i="3"/>
  <c r="J602" i="3"/>
  <c r="I602" i="3"/>
  <c r="L601" i="3"/>
  <c r="K601" i="3"/>
  <c r="J601" i="3"/>
  <c r="I601" i="3"/>
  <c r="L600" i="3"/>
  <c r="K600" i="3"/>
  <c r="J600" i="3"/>
  <c r="I600" i="3"/>
  <c r="L599" i="3"/>
  <c r="K599" i="3"/>
  <c r="J599" i="3"/>
  <c r="I599" i="3"/>
  <c r="L598" i="3"/>
  <c r="K598" i="3"/>
  <c r="J598" i="3"/>
  <c r="I598" i="3"/>
  <c r="L597" i="3"/>
  <c r="K597" i="3"/>
  <c r="J597" i="3"/>
  <c r="I597" i="3"/>
  <c r="L596" i="3"/>
  <c r="K596" i="3"/>
  <c r="J596" i="3"/>
  <c r="I596" i="3"/>
  <c r="L595" i="3"/>
  <c r="K595" i="3"/>
  <c r="J595" i="3"/>
  <c r="I595" i="3"/>
  <c r="L594" i="3"/>
  <c r="K594" i="3"/>
  <c r="J594" i="3"/>
  <c r="I594" i="3"/>
  <c r="L593" i="3"/>
  <c r="K593" i="3"/>
  <c r="J593" i="3"/>
  <c r="I593" i="3"/>
  <c r="L592" i="3"/>
  <c r="K592" i="3"/>
  <c r="J592" i="3"/>
  <c r="I592" i="3"/>
  <c r="L591" i="3"/>
  <c r="K591" i="3"/>
  <c r="J591" i="3"/>
  <c r="I591" i="3"/>
  <c r="L590" i="3"/>
  <c r="K590" i="3"/>
  <c r="J590" i="3"/>
  <c r="I590" i="3"/>
  <c r="L589" i="3"/>
  <c r="K589" i="3"/>
  <c r="J589" i="3"/>
  <c r="I589" i="3"/>
  <c r="L588" i="3"/>
  <c r="K588" i="3"/>
  <c r="J588" i="3"/>
  <c r="I588" i="3"/>
  <c r="L587" i="3"/>
  <c r="K587" i="3"/>
  <c r="J587" i="3"/>
  <c r="I587" i="3"/>
  <c r="L586" i="3"/>
  <c r="K586" i="3"/>
  <c r="J586" i="3"/>
  <c r="I586" i="3"/>
  <c r="L585" i="3"/>
  <c r="K585" i="3"/>
  <c r="J585" i="3"/>
  <c r="I585" i="3"/>
  <c r="L584" i="3"/>
  <c r="K584" i="3"/>
  <c r="J584" i="3"/>
  <c r="I584" i="3"/>
  <c r="L583" i="3"/>
  <c r="K583" i="3"/>
  <c r="J583" i="3"/>
  <c r="I583" i="3"/>
  <c r="L582" i="3"/>
  <c r="K582" i="3"/>
  <c r="J582" i="3"/>
  <c r="I582" i="3"/>
  <c r="L581" i="3"/>
  <c r="K581" i="3"/>
  <c r="J581" i="3"/>
  <c r="I581" i="3"/>
  <c r="L580" i="3"/>
  <c r="K580" i="3"/>
  <c r="J580" i="3"/>
  <c r="I580" i="3"/>
  <c r="L579" i="3"/>
  <c r="K579" i="3"/>
  <c r="J579" i="3"/>
  <c r="I579" i="3"/>
  <c r="L578" i="3"/>
  <c r="K578" i="3"/>
  <c r="J578" i="3"/>
  <c r="I578" i="3"/>
  <c r="L577" i="3"/>
  <c r="K577" i="3"/>
  <c r="J577" i="3"/>
  <c r="I577" i="3"/>
  <c r="L576" i="3"/>
  <c r="K576" i="3"/>
  <c r="J576" i="3"/>
  <c r="I576" i="3"/>
  <c r="L575" i="3"/>
  <c r="K575" i="3"/>
  <c r="J575" i="3"/>
  <c r="I575" i="3"/>
  <c r="L574" i="3"/>
  <c r="K574" i="3"/>
  <c r="J574" i="3"/>
  <c r="I574" i="3"/>
  <c r="L573" i="3"/>
  <c r="K573" i="3"/>
  <c r="J573" i="3"/>
  <c r="I573" i="3"/>
  <c r="L572" i="3"/>
  <c r="K572" i="3"/>
  <c r="J572" i="3"/>
  <c r="I572" i="3"/>
  <c r="L571" i="3"/>
  <c r="K571" i="3"/>
  <c r="J571" i="3"/>
  <c r="I571" i="3"/>
  <c r="L570" i="3"/>
  <c r="K570" i="3"/>
  <c r="J570" i="3"/>
  <c r="I570" i="3"/>
  <c r="L569" i="3"/>
  <c r="K569" i="3"/>
  <c r="J569" i="3"/>
  <c r="I569" i="3"/>
  <c r="L568" i="3"/>
  <c r="K568" i="3"/>
  <c r="J568" i="3"/>
  <c r="I568" i="3"/>
  <c r="L567" i="3"/>
  <c r="K567" i="3"/>
  <c r="J567" i="3"/>
  <c r="I567" i="3"/>
  <c r="L566" i="3"/>
  <c r="K566" i="3"/>
  <c r="J566" i="3"/>
  <c r="I566" i="3"/>
  <c r="L565" i="3"/>
  <c r="K565" i="3"/>
  <c r="J565" i="3"/>
  <c r="I565" i="3"/>
  <c r="L564" i="3"/>
  <c r="K564" i="3"/>
  <c r="J564" i="3"/>
  <c r="I564" i="3"/>
  <c r="L563" i="3"/>
  <c r="K563" i="3"/>
  <c r="J563" i="3"/>
  <c r="I563" i="3"/>
  <c r="L562" i="3"/>
  <c r="K562" i="3"/>
  <c r="J562" i="3"/>
  <c r="I562" i="3"/>
  <c r="L561" i="3"/>
  <c r="K561" i="3"/>
  <c r="J561" i="3"/>
  <c r="I561" i="3"/>
  <c r="L560" i="3"/>
  <c r="K560" i="3"/>
  <c r="J560" i="3"/>
  <c r="I560" i="3"/>
  <c r="L559" i="3"/>
  <c r="K559" i="3"/>
  <c r="J559" i="3"/>
  <c r="I559" i="3"/>
  <c r="L558" i="3"/>
  <c r="K558" i="3"/>
  <c r="J558" i="3"/>
  <c r="I558" i="3"/>
  <c r="L557" i="3"/>
  <c r="K557" i="3"/>
  <c r="J557" i="3"/>
  <c r="I557" i="3"/>
  <c r="L556" i="3"/>
  <c r="K556" i="3"/>
  <c r="J556" i="3"/>
  <c r="I556" i="3"/>
  <c r="L555" i="3"/>
  <c r="K555" i="3"/>
  <c r="J555" i="3"/>
  <c r="I555" i="3"/>
  <c r="L554" i="3"/>
  <c r="K554" i="3"/>
  <c r="J554" i="3"/>
  <c r="I554" i="3"/>
  <c r="L553" i="3"/>
  <c r="K553" i="3"/>
  <c r="J553" i="3"/>
  <c r="I553" i="3"/>
  <c r="L552" i="3"/>
  <c r="K552" i="3"/>
  <c r="J552" i="3"/>
  <c r="I552" i="3"/>
  <c r="L551" i="3"/>
  <c r="K551" i="3"/>
  <c r="J551" i="3"/>
  <c r="I551" i="3"/>
  <c r="L550" i="3"/>
  <c r="K550" i="3"/>
  <c r="J550" i="3"/>
  <c r="I550" i="3"/>
  <c r="L549" i="3"/>
  <c r="K549" i="3"/>
  <c r="J549" i="3"/>
  <c r="I549" i="3"/>
  <c r="L548" i="3"/>
  <c r="K548" i="3"/>
  <c r="J548" i="3"/>
  <c r="I548" i="3"/>
  <c r="L547" i="3"/>
  <c r="K547" i="3"/>
  <c r="J547" i="3"/>
  <c r="I547" i="3"/>
  <c r="L546" i="3"/>
  <c r="K546" i="3"/>
  <c r="J546" i="3"/>
  <c r="I546" i="3"/>
  <c r="L545" i="3"/>
  <c r="K545" i="3"/>
  <c r="J545" i="3"/>
  <c r="I545" i="3"/>
  <c r="L544" i="3"/>
  <c r="K544" i="3"/>
  <c r="J544" i="3"/>
  <c r="I544" i="3"/>
  <c r="L543" i="3"/>
  <c r="K543" i="3"/>
  <c r="J543" i="3"/>
  <c r="I543" i="3"/>
  <c r="L542" i="3"/>
  <c r="K542" i="3"/>
  <c r="J542" i="3"/>
  <c r="I542" i="3"/>
  <c r="L541" i="3"/>
  <c r="K541" i="3"/>
  <c r="J541" i="3"/>
  <c r="I541" i="3"/>
  <c r="L540" i="3"/>
  <c r="K540" i="3"/>
  <c r="J540" i="3"/>
  <c r="I540" i="3"/>
  <c r="L539" i="3"/>
  <c r="K539" i="3"/>
  <c r="J539" i="3"/>
  <c r="I539" i="3"/>
  <c r="L538" i="3"/>
  <c r="K538" i="3"/>
  <c r="J538" i="3"/>
  <c r="I538" i="3"/>
  <c r="L537" i="3"/>
  <c r="K537" i="3"/>
  <c r="J537" i="3"/>
  <c r="I537" i="3"/>
  <c r="L536" i="3"/>
  <c r="K536" i="3"/>
  <c r="J536" i="3"/>
  <c r="I536" i="3"/>
  <c r="L535" i="3"/>
  <c r="K535" i="3"/>
  <c r="J535" i="3"/>
  <c r="I535" i="3"/>
  <c r="L534" i="3"/>
  <c r="K534" i="3"/>
  <c r="J534" i="3"/>
  <c r="I534" i="3"/>
  <c r="L533" i="3"/>
  <c r="K533" i="3"/>
  <c r="J533" i="3"/>
  <c r="I533" i="3"/>
  <c r="L532" i="3"/>
  <c r="K532" i="3"/>
  <c r="J532" i="3"/>
  <c r="I532" i="3"/>
  <c r="L531" i="3"/>
  <c r="K531" i="3"/>
  <c r="J531" i="3"/>
  <c r="I531" i="3"/>
  <c r="L530" i="3"/>
  <c r="K530" i="3"/>
  <c r="J530" i="3"/>
  <c r="I530" i="3"/>
  <c r="L529" i="3"/>
  <c r="K529" i="3"/>
  <c r="J529" i="3"/>
  <c r="I529" i="3"/>
  <c r="L528" i="3"/>
  <c r="K528" i="3"/>
  <c r="J528" i="3"/>
  <c r="I528" i="3"/>
  <c r="L527" i="3"/>
  <c r="K527" i="3"/>
  <c r="J527" i="3"/>
  <c r="I527" i="3"/>
  <c r="L526" i="3"/>
  <c r="K526" i="3"/>
  <c r="J526" i="3"/>
  <c r="I526" i="3"/>
  <c r="L525" i="3"/>
  <c r="K525" i="3"/>
  <c r="J525" i="3"/>
  <c r="I525" i="3"/>
  <c r="L524" i="3"/>
  <c r="K524" i="3"/>
  <c r="J524" i="3"/>
  <c r="I524" i="3"/>
  <c r="L523" i="3"/>
  <c r="K523" i="3"/>
  <c r="J523" i="3"/>
  <c r="I523" i="3"/>
  <c r="L522" i="3"/>
  <c r="K522" i="3"/>
  <c r="J522" i="3"/>
  <c r="I522" i="3"/>
  <c r="L521" i="3"/>
  <c r="K521" i="3"/>
  <c r="J521" i="3"/>
  <c r="I521" i="3"/>
  <c r="L520" i="3"/>
  <c r="K520" i="3"/>
  <c r="J520" i="3"/>
  <c r="I520" i="3"/>
  <c r="L519" i="3"/>
  <c r="K519" i="3"/>
  <c r="J519" i="3"/>
  <c r="I519" i="3"/>
  <c r="L518" i="3"/>
  <c r="K518" i="3"/>
  <c r="J518" i="3"/>
  <c r="I518" i="3"/>
  <c r="L517" i="3"/>
  <c r="K517" i="3"/>
  <c r="J517" i="3"/>
  <c r="I517" i="3"/>
  <c r="L516" i="3"/>
  <c r="K516" i="3"/>
  <c r="J516" i="3"/>
  <c r="I516" i="3"/>
  <c r="L515" i="3"/>
  <c r="K515" i="3"/>
  <c r="J515" i="3"/>
  <c r="I515" i="3"/>
  <c r="L514" i="3"/>
  <c r="K514" i="3"/>
  <c r="J514" i="3"/>
  <c r="I514" i="3"/>
  <c r="L513" i="3"/>
  <c r="K513" i="3"/>
  <c r="J513" i="3"/>
  <c r="I513" i="3"/>
  <c r="L512" i="3"/>
  <c r="K512" i="3"/>
  <c r="J512" i="3"/>
  <c r="I512" i="3"/>
  <c r="L511" i="3"/>
  <c r="K511" i="3"/>
  <c r="J511" i="3"/>
  <c r="I511" i="3"/>
  <c r="L510" i="3"/>
  <c r="K510" i="3"/>
  <c r="J510" i="3"/>
  <c r="I510" i="3"/>
  <c r="L509" i="3"/>
  <c r="K509" i="3"/>
  <c r="J509" i="3"/>
  <c r="I509" i="3"/>
  <c r="L508" i="3"/>
  <c r="K508" i="3"/>
  <c r="J508" i="3"/>
  <c r="I508" i="3"/>
  <c r="L507" i="3"/>
  <c r="K507" i="3"/>
  <c r="J507" i="3"/>
  <c r="I507" i="3"/>
  <c r="L506" i="3"/>
  <c r="K506" i="3"/>
  <c r="J506" i="3"/>
  <c r="I506" i="3"/>
  <c r="L505" i="3"/>
  <c r="K505" i="3"/>
  <c r="J505" i="3"/>
  <c r="I505" i="3"/>
  <c r="L504" i="3"/>
  <c r="K504" i="3"/>
  <c r="J504" i="3"/>
  <c r="I504" i="3"/>
  <c r="L503" i="3"/>
  <c r="K503" i="3"/>
  <c r="J503" i="3"/>
  <c r="I503" i="3"/>
  <c r="L502" i="3"/>
  <c r="K502" i="3"/>
  <c r="J502" i="3"/>
  <c r="I502" i="3"/>
  <c r="L501" i="3"/>
  <c r="K501" i="3"/>
  <c r="J501" i="3"/>
  <c r="I501" i="3"/>
  <c r="L500" i="3"/>
  <c r="K500" i="3"/>
  <c r="J500" i="3"/>
  <c r="I500" i="3"/>
  <c r="L499" i="3"/>
  <c r="K499" i="3"/>
  <c r="J499" i="3"/>
  <c r="I499" i="3"/>
  <c r="L498" i="3"/>
  <c r="K498" i="3"/>
  <c r="J498" i="3"/>
  <c r="I498" i="3"/>
  <c r="L497" i="3"/>
  <c r="K497" i="3"/>
  <c r="J497" i="3"/>
  <c r="I497" i="3"/>
  <c r="L496" i="3"/>
  <c r="K496" i="3"/>
  <c r="J496" i="3"/>
  <c r="I496" i="3"/>
  <c r="L495" i="3"/>
  <c r="K495" i="3"/>
  <c r="J495" i="3"/>
  <c r="I495" i="3"/>
  <c r="L494" i="3"/>
  <c r="K494" i="3"/>
  <c r="J494" i="3"/>
  <c r="I494" i="3"/>
  <c r="L493" i="3"/>
  <c r="K493" i="3"/>
  <c r="J493" i="3"/>
  <c r="I493" i="3"/>
  <c r="L492" i="3"/>
  <c r="K492" i="3"/>
  <c r="J492" i="3"/>
  <c r="I492" i="3"/>
  <c r="L491" i="3"/>
  <c r="K491" i="3"/>
  <c r="J491" i="3"/>
  <c r="I491" i="3"/>
  <c r="L490" i="3"/>
  <c r="K490" i="3"/>
  <c r="J490" i="3"/>
  <c r="I490" i="3"/>
  <c r="L489" i="3"/>
  <c r="K489" i="3"/>
  <c r="J489" i="3"/>
  <c r="I489" i="3"/>
  <c r="L488" i="3"/>
  <c r="K488" i="3"/>
  <c r="J488" i="3"/>
  <c r="I488" i="3"/>
  <c r="L487" i="3"/>
  <c r="K487" i="3"/>
  <c r="J487" i="3"/>
  <c r="I487" i="3"/>
  <c r="L486" i="3"/>
  <c r="K486" i="3"/>
  <c r="J486" i="3"/>
  <c r="I486" i="3"/>
  <c r="L485" i="3"/>
  <c r="K485" i="3"/>
  <c r="J485" i="3"/>
  <c r="I485" i="3"/>
  <c r="L484" i="3"/>
  <c r="K484" i="3"/>
  <c r="J484" i="3"/>
  <c r="I484" i="3"/>
  <c r="L483" i="3"/>
  <c r="K483" i="3"/>
  <c r="J483" i="3"/>
  <c r="I483" i="3"/>
  <c r="L482" i="3"/>
  <c r="K482" i="3"/>
  <c r="J482" i="3"/>
  <c r="I482" i="3"/>
  <c r="L481" i="3"/>
  <c r="K481" i="3"/>
  <c r="J481" i="3"/>
  <c r="I481" i="3"/>
  <c r="L480" i="3"/>
  <c r="K480" i="3"/>
  <c r="J480" i="3"/>
  <c r="I480" i="3"/>
  <c r="L479" i="3"/>
  <c r="K479" i="3"/>
  <c r="J479" i="3"/>
  <c r="I479" i="3"/>
  <c r="L478" i="3"/>
  <c r="K478" i="3"/>
  <c r="J478" i="3"/>
  <c r="I478" i="3"/>
  <c r="L477" i="3"/>
  <c r="K477" i="3"/>
  <c r="J477" i="3"/>
  <c r="I477" i="3"/>
  <c r="L476" i="3"/>
  <c r="K476" i="3"/>
  <c r="J476" i="3"/>
  <c r="I476" i="3"/>
  <c r="L475" i="3"/>
  <c r="K475" i="3"/>
  <c r="J475" i="3"/>
  <c r="I475" i="3"/>
  <c r="L474" i="3"/>
  <c r="K474" i="3"/>
  <c r="J474" i="3"/>
  <c r="I474" i="3"/>
  <c r="L473" i="3"/>
  <c r="K473" i="3"/>
  <c r="J473" i="3"/>
  <c r="I473" i="3"/>
  <c r="L472" i="3"/>
  <c r="K472" i="3"/>
  <c r="J472" i="3"/>
  <c r="I472" i="3"/>
  <c r="L471" i="3"/>
  <c r="K471" i="3"/>
  <c r="J471" i="3"/>
  <c r="I471" i="3"/>
  <c r="L470" i="3"/>
  <c r="K470" i="3"/>
  <c r="J470" i="3"/>
  <c r="I470" i="3"/>
  <c r="L469" i="3"/>
  <c r="K469" i="3"/>
  <c r="J469" i="3"/>
  <c r="I469" i="3"/>
  <c r="L468" i="3"/>
  <c r="K468" i="3"/>
  <c r="J468" i="3"/>
  <c r="I468" i="3"/>
  <c r="L467" i="3"/>
  <c r="K467" i="3"/>
  <c r="J467" i="3"/>
  <c r="I467" i="3"/>
  <c r="L466" i="3"/>
  <c r="K466" i="3"/>
  <c r="J466" i="3"/>
  <c r="I466" i="3"/>
  <c r="L465" i="3"/>
  <c r="K465" i="3"/>
  <c r="J465" i="3"/>
  <c r="I465" i="3"/>
  <c r="L464" i="3"/>
  <c r="K464" i="3"/>
  <c r="J464" i="3"/>
  <c r="I464" i="3"/>
  <c r="L463" i="3"/>
  <c r="K463" i="3"/>
  <c r="J463" i="3"/>
  <c r="I463" i="3"/>
  <c r="L462" i="3"/>
  <c r="K462" i="3"/>
  <c r="J462" i="3"/>
  <c r="I462" i="3"/>
  <c r="L461" i="3"/>
  <c r="K461" i="3"/>
  <c r="J461" i="3"/>
  <c r="I461" i="3"/>
  <c r="L460" i="3"/>
  <c r="K460" i="3"/>
  <c r="J460" i="3"/>
  <c r="I460" i="3"/>
  <c r="L459" i="3"/>
  <c r="K459" i="3"/>
  <c r="J459" i="3"/>
  <c r="I459" i="3"/>
  <c r="L458" i="3"/>
  <c r="K458" i="3"/>
  <c r="J458" i="3"/>
  <c r="I458" i="3"/>
  <c r="L457" i="3"/>
  <c r="K457" i="3"/>
  <c r="J457" i="3"/>
  <c r="I457" i="3"/>
  <c r="L456" i="3"/>
  <c r="K456" i="3"/>
  <c r="J456" i="3"/>
  <c r="I456" i="3"/>
  <c r="L455" i="3"/>
  <c r="K455" i="3"/>
  <c r="J455" i="3"/>
  <c r="I455" i="3"/>
  <c r="L454" i="3"/>
  <c r="K454" i="3"/>
  <c r="J454" i="3"/>
  <c r="I454" i="3"/>
  <c r="L453" i="3"/>
  <c r="K453" i="3"/>
  <c r="J453" i="3"/>
  <c r="I453" i="3"/>
  <c r="L452" i="3"/>
  <c r="K452" i="3"/>
  <c r="J452" i="3"/>
  <c r="I452" i="3"/>
  <c r="L451" i="3"/>
  <c r="K451" i="3"/>
  <c r="J451" i="3"/>
  <c r="I451" i="3"/>
  <c r="L450" i="3"/>
  <c r="K450" i="3"/>
  <c r="J450" i="3"/>
  <c r="I450" i="3"/>
  <c r="L449" i="3"/>
  <c r="K449" i="3"/>
  <c r="J449" i="3"/>
  <c r="I449" i="3"/>
  <c r="L448" i="3"/>
  <c r="K448" i="3"/>
  <c r="J448" i="3"/>
  <c r="I448" i="3"/>
  <c r="L447" i="3"/>
  <c r="K447" i="3"/>
  <c r="J447" i="3"/>
  <c r="I447" i="3"/>
  <c r="L446" i="3"/>
  <c r="K446" i="3"/>
  <c r="J446" i="3"/>
  <c r="I446" i="3"/>
  <c r="L445" i="3"/>
  <c r="K445" i="3"/>
  <c r="J445" i="3"/>
  <c r="I445" i="3"/>
  <c r="L444" i="3"/>
  <c r="K444" i="3"/>
  <c r="J444" i="3"/>
  <c r="I444" i="3"/>
  <c r="L443" i="3"/>
  <c r="K443" i="3"/>
  <c r="J443" i="3"/>
  <c r="I443" i="3"/>
  <c r="L442" i="3"/>
  <c r="K442" i="3"/>
  <c r="J442" i="3"/>
  <c r="I442" i="3"/>
  <c r="L441" i="3"/>
  <c r="K441" i="3"/>
  <c r="J441" i="3"/>
  <c r="I441" i="3"/>
  <c r="L440" i="3"/>
  <c r="K440" i="3"/>
  <c r="J440" i="3"/>
  <c r="I440" i="3"/>
  <c r="L439" i="3"/>
  <c r="K439" i="3"/>
  <c r="J439" i="3"/>
  <c r="I439" i="3"/>
  <c r="L438" i="3"/>
  <c r="K438" i="3"/>
  <c r="J438" i="3"/>
  <c r="I438" i="3"/>
  <c r="L437" i="3"/>
  <c r="K437" i="3"/>
  <c r="J437" i="3"/>
  <c r="I437" i="3"/>
  <c r="L436" i="3"/>
  <c r="K436" i="3"/>
  <c r="J436" i="3"/>
  <c r="I436" i="3"/>
  <c r="L435" i="3"/>
  <c r="K435" i="3"/>
  <c r="J435" i="3"/>
  <c r="I435" i="3"/>
  <c r="L434" i="3"/>
  <c r="K434" i="3"/>
  <c r="J434" i="3"/>
  <c r="I434" i="3"/>
  <c r="L433" i="3"/>
  <c r="K433" i="3"/>
  <c r="J433" i="3"/>
  <c r="I433" i="3"/>
  <c r="L432" i="3"/>
  <c r="K432" i="3"/>
  <c r="J432" i="3"/>
  <c r="I432" i="3"/>
  <c r="L431" i="3"/>
  <c r="K431" i="3"/>
  <c r="J431" i="3"/>
  <c r="I431" i="3"/>
  <c r="L430" i="3"/>
  <c r="K430" i="3"/>
  <c r="J430" i="3"/>
  <c r="I430" i="3"/>
  <c r="L429" i="3"/>
  <c r="K429" i="3"/>
  <c r="J429" i="3"/>
  <c r="I429" i="3"/>
  <c r="L428" i="3"/>
  <c r="K428" i="3"/>
  <c r="J428" i="3"/>
  <c r="I428" i="3"/>
  <c r="L427" i="3"/>
  <c r="K427" i="3"/>
  <c r="J427" i="3"/>
  <c r="I427" i="3"/>
  <c r="L426" i="3"/>
  <c r="K426" i="3"/>
  <c r="J426" i="3"/>
  <c r="I426" i="3"/>
  <c r="L425" i="3"/>
  <c r="K425" i="3"/>
  <c r="J425" i="3"/>
  <c r="I425" i="3"/>
  <c r="L424" i="3"/>
  <c r="K424" i="3"/>
  <c r="J424" i="3"/>
  <c r="I424" i="3"/>
  <c r="L423" i="3"/>
  <c r="K423" i="3"/>
  <c r="J423" i="3"/>
  <c r="I423" i="3"/>
  <c r="L422" i="3"/>
  <c r="K422" i="3"/>
  <c r="J422" i="3"/>
  <c r="I422" i="3"/>
  <c r="L421" i="3"/>
  <c r="K421" i="3"/>
  <c r="J421" i="3"/>
  <c r="I421" i="3"/>
  <c r="L420" i="3"/>
  <c r="K420" i="3"/>
  <c r="J420" i="3"/>
  <c r="I420" i="3"/>
  <c r="L419" i="3"/>
  <c r="K419" i="3"/>
  <c r="J419" i="3"/>
  <c r="I419" i="3"/>
  <c r="L418" i="3"/>
  <c r="K418" i="3"/>
  <c r="J418" i="3"/>
  <c r="I418" i="3"/>
  <c r="L417" i="3"/>
  <c r="K417" i="3"/>
  <c r="J417" i="3"/>
  <c r="I417" i="3"/>
  <c r="L416" i="3"/>
  <c r="K416" i="3"/>
  <c r="J416" i="3"/>
  <c r="I416" i="3"/>
  <c r="L415" i="3"/>
  <c r="K415" i="3"/>
  <c r="J415" i="3"/>
  <c r="I415" i="3"/>
  <c r="L414" i="3"/>
  <c r="K414" i="3"/>
  <c r="J414" i="3"/>
  <c r="I414" i="3"/>
  <c r="L413" i="3"/>
  <c r="K413" i="3"/>
  <c r="J413" i="3"/>
  <c r="I413" i="3"/>
  <c r="L412" i="3"/>
  <c r="K412" i="3"/>
  <c r="J412" i="3"/>
  <c r="I412" i="3"/>
  <c r="L411" i="3"/>
  <c r="K411" i="3"/>
  <c r="J411" i="3"/>
  <c r="I411" i="3"/>
  <c r="L410" i="3"/>
  <c r="K410" i="3"/>
  <c r="J410" i="3"/>
  <c r="I410" i="3"/>
  <c r="L409" i="3"/>
  <c r="K409" i="3"/>
  <c r="J409" i="3"/>
  <c r="I409" i="3"/>
  <c r="L408" i="3"/>
  <c r="K408" i="3"/>
  <c r="J408" i="3"/>
  <c r="I408" i="3"/>
  <c r="L407" i="3"/>
  <c r="K407" i="3"/>
  <c r="J407" i="3"/>
  <c r="I407" i="3"/>
  <c r="L406" i="3"/>
  <c r="K406" i="3"/>
  <c r="J406" i="3"/>
  <c r="I406" i="3"/>
  <c r="L405" i="3"/>
  <c r="K405" i="3"/>
  <c r="J405" i="3"/>
  <c r="I405" i="3"/>
  <c r="L404" i="3"/>
  <c r="K404" i="3"/>
  <c r="J404" i="3"/>
  <c r="I404" i="3"/>
  <c r="L403" i="3"/>
  <c r="K403" i="3"/>
  <c r="J403" i="3"/>
  <c r="I403" i="3"/>
  <c r="L402" i="3"/>
  <c r="K402" i="3"/>
  <c r="J402" i="3"/>
  <c r="I402" i="3"/>
  <c r="L401" i="3"/>
  <c r="K401" i="3"/>
  <c r="J401" i="3"/>
  <c r="I401" i="3"/>
  <c r="L400" i="3"/>
  <c r="K400" i="3"/>
  <c r="J400" i="3"/>
  <c r="I400" i="3"/>
  <c r="L399" i="3"/>
  <c r="K399" i="3"/>
  <c r="J399" i="3"/>
  <c r="I399" i="3"/>
  <c r="L398" i="3"/>
  <c r="K398" i="3"/>
  <c r="J398" i="3"/>
  <c r="I398" i="3"/>
  <c r="L397" i="3"/>
  <c r="K397" i="3"/>
  <c r="J397" i="3"/>
  <c r="I397" i="3"/>
  <c r="L396" i="3"/>
  <c r="K396" i="3"/>
  <c r="J396" i="3"/>
  <c r="I396" i="3"/>
  <c r="L395" i="3"/>
  <c r="K395" i="3"/>
  <c r="J395" i="3"/>
  <c r="I395" i="3"/>
  <c r="L394" i="3"/>
  <c r="K394" i="3"/>
  <c r="J394" i="3"/>
  <c r="I394" i="3"/>
  <c r="L393" i="3"/>
  <c r="K393" i="3"/>
  <c r="J393" i="3"/>
  <c r="I393" i="3"/>
  <c r="L392" i="3"/>
  <c r="K392" i="3"/>
  <c r="J392" i="3"/>
  <c r="I392" i="3"/>
  <c r="L391" i="3"/>
  <c r="K391" i="3"/>
  <c r="J391" i="3"/>
  <c r="I391" i="3"/>
  <c r="L390" i="3"/>
  <c r="K390" i="3"/>
  <c r="J390" i="3"/>
  <c r="I390" i="3"/>
  <c r="L389" i="3"/>
  <c r="K389" i="3"/>
  <c r="J389" i="3"/>
  <c r="I389" i="3"/>
  <c r="L388" i="3"/>
  <c r="K388" i="3"/>
  <c r="J388" i="3"/>
  <c r="I388" i="3"/>
  <c r="L387" i="3"/>
  <c r="K387" i="3"/>
  <c r="J387" i="3"/>
  <c r="I387" i="3"/>
  <c r="L386" i="3"/>
  <c r="K386" i="3"/>
  <c r="J386" i="3"/>
  <c r="I386" i="3"/>
  <c r="L385" i="3"/>
  <c r="K385" i="3"/>
  <c r="J385" i="3"/>
  <c r="I385" i="3"/>
  <c r="L384" i="3"/>
  <c r="K384" i="3"/>
  <c r="J384" i="3"/>
  <c r="I384" i="3"/>
  <c r="L383" i="3"/>
  <c r="K383" i="3"/>
  <c r="J383" i="3"/>
  <c r="I383" i="3"/>
  <c r="L382" i="3"/>
  <c r="K382" i="3"/>
  <c r="J382" i="3"/>
  <c r="I382" i="3"/>
  <c r="L381" i="3"/>
  <c r="K381" i="3"/>
  <c r="J381" i="3"/>
  <c r="I381" i="3"/>
  <c r="L380" i="3"/>
  <c r="K380" i="3"/>
  <c r="J380" i="3"/>
  <c r="I380" i="3"/>
  <c r="L379" i="3"/>
  <c r="K379" i="3"/>
  <c r="J379" i="3"/>
  <c r="I379" i="3"/>
  <c r="L378" i="3"/>
  <c r="K378" i="3"/>
  <c r="J378" i="3"/>
  <c r="I378" i="3"/>
  <c r="L377" i="3"/>
  <c r="K377" i="3"/>
  <c r="J377" i="3"/>
  <c r="I377" i="3"/>
  <c r="L376" i="3"/>
  <c r="K376" i="3"/>
  <c r="J376" i="3"/>
  <c r="I376" i="3"/>
  <c r="L375" i="3"/>
  <c r="K375" i="3"/>
  <c r="J375" i="3"/>
  <c r="I375" i="3"/>
  <c r="L374" i="3"/>
  <c r="K374" i="3"/>
  <c r="J374" i="3"/>
  <c r="I374" i="3"/>
  <c r="L373" i="3"/>
  <c r="K373" i="3"/>
  <c r="J373" i="3"/>
  <c r="I373" i="3"/>
  <c r="L372" i="3"/>
  <c r="K372" i="3"/>
  <c r="J372" i="3"/>
  <c r="I372" i="3"/>
  <c r="L371" i="3"/>
  <c r="K371" i="3"/>
  <c r="J371" i="3"/>
  <c r="I371" i="3"/>
  <c r="L370" i="3"/>
  <c r="K370" i="3"/>
  <c r="J370" i="3"/>
  <c r="I370" i="3"/>
  <c r="L369" i="3"/>
  <c r="K369" i="3"/>
  <c r="J369" i="3"/>
  <c r="I369" i="3"/>
  <c r="L368" i="3"/>
  <c r="K368" i="3"/>
  <c r="J368" i="3"/>
  <c r="I368" i="3"/>
  <c r="L367" i="3"/>
  <c r="K367" i="3"/>
  <c r="J367" i="3"/>
  <c r="I367" i="3"/>
  <c r="L366" i="3"/>
  <c r="K366" i="3"/>
  <c r="J366" i="3"/>
  <c r="I366" i="3"/>
  <c r="L365" i="3"/>
  <c r="K365" i="3"/>
  <c r="J365" i="3"/>
  <c r="I365" i="3"/>
  <c r="L364" i="3"/>
  <c r="K364" i="3"/>
  <c r="J364" i="3"/>
  <c r="I364" i="3"/>
  <c r="L363" i="3"/>
  <c r="K363" i="3"/>
  <c r="J363" i="3"/>
  <c r="I363" i="3"/>
  <c r="L362" i="3"/>
  <c r="K362" i="3"/>
  <c r="J362" i="3"/>
  <c r="I362" i="3"/>
  <c r="L361" i="3"/>
  <c r="K361" i="3"/>
  <c r="J361" i="3"/>
  <c r="I361" i="3"/>
  <c r="L360" i="3"/>
  <c r="K360" i="3"/>
  <c r="J360" i="3"/>
  <c r="I360" i="3"/>
  <c r="L359" i="3"/>
  <c r="K359" i="3"/>
  <c r="J359" i="3"/>
  <c r="I359" i="3"/>
  <c r="L358" i="3"/>
  <c r="K358" i="3"/>
  <c r="J358" i="3"/>
  <c r="I358" i="3"/>
  <c r="L357" i="3"/>
  <c r="K357" i="3"/>
  <c r="J357" i="3"/>
  <c r="I357" i="3"/>
  <c r="L356" i="3"/>
  <c r="K356" i="3"/>
  <c r="J356" i="3"/>
  <c r="I356" i="3"/>
  <c r="L355" i="3"/>
  <c r="K355" i="3"/>
  <c r="J355" i="3"/>
  <c r="I355" i="3"/>
  <c r="L354" i="3"/>
  <c r="K354" i="3"/>
  <c r="J354" i="3"/>
  <c r="I354" i="3"/>
  <c r="L353" i="3"/>
  <c r="K353" i="3"/>
  <c r="J353" i="3"/>
  <c r="I353" i="3"/>
  <c r="L352" i="3"/>
  <c r="K352" i="3"/>
  <c r="J352" i="3"/>
  <c r="I352" i="3"/>
  <c r="L351" i="3"/>
  <c r="K351" i="3"/>
  <c r="J351" i="3"/>
  <c r="I351" i="3"/>
  <c r="L350" i="3"/>
  <c r="K350" i="3"/>
  <c r="J350" i="3"/>
  <c r="I350" i="3"/>
  <c r="L349" i="3"/>
  <c r="K349" i="3"/>
  <c r="J349" i="3"/>
  <c r="I349" i="3"/>
  <c r="L348" i="3"/>
  <c r="K348" i="3"/>
  <c r="J348" i="3"/>
  <c r="I348" i="3"/>
  <c r="L347" i="3"/>
  <c r="K347" i="3"/>
  <c r="J347" i="3"/>
  <c r="I347" i="3"/>
  <c r="L346" i="3"/>
  <c r="K346" i="3"/>
  <c r="J346" i="3"/>
  <c r="I346" i="3"/>
  <c r="L345" i="3"/>
  <c r="K345" i="3"/>
  <c r="J345" i="3"/>
  <c r="I345" i="3"/>
  <c r="L344" i="3"/>
  <c r="K344" i="3"/>
  <c r="J344" i="3"/>
  <c r="I344" i="3"/>
  <c r="L343" i="3"/>
  <c r="K343" i="3"/>
  <c r="J343" i="3"/>
  <c r="I343" i="3"/>
  <c r="L342" i="3"/>
  <c r="K342" i="3"/>
  <c r="J342" i="3"/>
  <c r="I342" i="3"/>
  <c r="L341" i="3"/>
  <c r="K341" i="3"/>
  <c r="J341" i="3"/>
  <c r="I341" i="3"/>
  <c r="L340" i="3"/>
  <c r="K340" i="3"/>
  <c r="J340" i="3"/>
  <c r="I340" i="3"/>
  <c r="L339" i="3"/>
  <c r="K339" i="3"/>
  <c r="J339" i="3"/>
  <c r="I339" i="3"/>
  <c r="L338" i="3"/>
  <c r="K338" i="3"/>
  <c r="J338" i="3"/>
  <c r="I338" i="3"/>
  <c r="L337" i="3"/>
  <c r="K337" i="3"/>
  <c r="J337" i="3"/>
  <c r="I337" i="3"/>
  <c r="L336" i="3"/>
  <c r="K336" i="3"/>
  <c r="J336" i="3"/>
  <c r="I336" i="3"/>
  <c r="L335" i="3"/>
  <c r="K335" i="3"/>
  <c r="J335" i="3"/>
  <c r="I335" i="3"/>
  <c r="L334" i="3"/>
  <c r="K334" i="3"/>
  <c r="J334" i="3"/>
  <c r="I334" i="3"/>
  <c r="L333" i="3"/>
  <c r="K333" i="3"/>
  <c r="J333" i="3"/>
  <c r="I333" i="3"/>
  <c r="L332" i="3"/>
  <c r="K332" i="3"/>
  <c r="J332" i="3"/>
  <c r="I332" i="3"/>
  <c r="L331" i="3"/>
  <c r="K331" i="3"/>
  <c r="J331" i="3"/>
  <c r="I331" i="3"/>
  <c r="L330" i="3"/>
  <c r="K330" i="3"/>
  <c r="J330" i="3"/>
  <c r="I330" i="3"/>
  <c r="L329" i="3"/>
  <c r="K329" i="3"/>
  <c r="J329" i="3"/>
  <c r="I329" i="3"/>
  <c r="L328" i="3"/>
  <c r="K328" i="3"/>
  <c r="J328" i="3"/>
  <c r="I328" i="3"/>
  <c r="L327" i="3"/>
  <c r="K327" i="3"/>
  <c r="J327" i="3"/>
  <c r="I327" i="3"/>
  <c r="L326" i="3"/>
  <c r="K326" i="3"/>
  <c r="J326" i="3"/>
  <c r="I326" i="3"/>
  <c r="L325" i="3"/>
  <c r="K325" i="3"/>
  <c r="J325" i="3"/>
  <c r="I325" i="3"/>
  <c r="L324" i="3"/>
  <c r="K324" i="3"/>
  <c r="J324" i="3"/>
  <c r="I324" i="3"/>
  <c r="L323" i="3"/>
  <c r="K323" i="3"/>
  <c r="J323" i="3"/>
  <c r="I323" i="3"/>
  <c r="L322" i="3"/>
  <c r="K322" i="3"/>
  <c r="J322" i="3"/>
  <c r="I322" i="3"/>
  <c r="L321" i="3"/>
  <c r="K321" i="3"/>
  <c r="J321" i="3"/>
  <c r="I321" i="3"/>
  <c r="L320" i="3"/>
  <c r="K320" i="3"/>
  <c r="J320" i="3"/>
  <c r="I320" i="3"/>
  <c r="L319" i="3"/>
  <c r="K319" i="3"/>
  <c r="J319" i="3"/>
  <c r="I319" i="3"/>
  <c r="L318" i="3"/>
  <c r="K318" i="3"/>
  <c r="J318" i="3"/>
  <c r="I318" i="3"/>
  <c r="L317" i="3"/>
  <c r="K317" i="3"/>
  <c r="J317" i="3"/>
  <c r="I317" i="3"/>
  <c r="L316" i="3"/>
  <c r="K316" i="3"/>
  <c r="J316" i="3"/>
  <c r="I316" i="3"/>
  <c r="L315" i="3"/>
  <c r="K315" i="3"/>
  <c r="J315" i="3"/>
  <c r="I315" i="3"/>
  <c r="L314" i="3"/>
  <c r="K314" i="3"/>
  <c r="J314" i="3"/>
  <c r="I314" i="3"/>
  <c r="L313" i="3"/>
  <c r="K313" i="3"/>
  <c r="J313" i="3"/>
  <c r="I313" i="3"/>
  <c r="L312" i="3"/>
  <c r="K312" i="3"/>
  <c r="J312" i="3"/>
  <c r="I312" i="3"/>
  <c r="L311" i="3"/>
  <c r="K311" i="3"/>
  <c r="J311" i="3"/>
  <c r="I311" i="3"/>
  <c r="L310" i="3"/>
  <c r="K310" i="3"/>
  <c r="J310" i="3"/>
  <c r="I310" i="3"/>
  <c r="L309" i="3"/>
  <c r="K309" i="3"/>
  <c r="J309" i="3"/>
  <c r="I309" i="3"/>
  <c r="L308" i="3"/>
  <c r="K308" i="3"/>
  <c r="J308" i="3"/>
  <c r="I308" i="3"/>
  <c r="L307" i="3"/>
  <c r="K307" i="3"/>
  <c r="J307" i="3"/>
  <c r="I307" i="3"/>
  <c r="L306" i="3"/>
  <c r="K306" i="3"/>
  <c r="J306" i="3"/>
  <c r="I306" i="3"/>
  <c r="L305" i="3"/>
  <c r="K305" i="3"/>
  <c r="J305" i="3"/>
  <c r="I305" i="3"/>
  <c r="L304" i="3"/>
  <c r="K304" i="3"/>
  <c r="J304" i="3"/>
  <c r="I304" i="3"/>
  <c r="L303" i="3"/>
  <c r="K303" i="3"/>
  <c r="J303" i="3"/>
  <c r="I303" i="3"/>
  <c r="L302" i="3"/>
  <c r="K302" i="3"/>
  <c r="J302" i="3"/>
  <c r="I302" i="3"/>
  <c r="L301" i="3"/>
  <c r="K301" i="3"/>
  <c r="J301" i="3"/>
  <c r="I301" i="3"/>
  <c r="L300" i="3"/>
  <c r="K300" i="3"/>
  <c r="J300" i="3"/>
  <c r="I300" i="3"/>
  <c r="L299" i="3"/>
  <c r="K299" i="3"/>
  <c r="J299" i="3"/>
  <c r="I299" i="3"/>
  <c r="L298" i="3"/>
  <c r="K298" i="3"/>
  <c r="J298" i="3"/>
  <c r="I298" i="3"/>
  <c r="L297" i="3"/>
  <c r="K297" i="3"/>
  <c r="J297" i="3"/>
  <c r="I297" i="3"/>
  <c r="L296" i="3"/>
  <c r="K296" i="3"/>
  <c r="J296" i="3"/>
  <c r="I296" i="3"/>
  <c r="L295" i="3"/>
  <c r="K295" i="3"/>
  <c r="J295" i="3"/>
  <c r="I295" i="3"/>
  <c r="L294" i="3"/>
  <c r="K294" i="3"/>
  <c r="J294" i="3"/>
  <c r="I294" i="3"/>
  <c r="L293" i="3"/>
  <c r="K293" i="3"/>
  <c r="J293" i="3"/>
  <c r="I293" i="3"/>
  <c r="L292" i="3"/>
  <c r="K292" i="3"/>
  <c r="J292" i="3"/>
  <c r="I292" i="3"/>
  <c r="L291" i="3"/>
  <c r="K291" i="3"/>
  <c r="J291" i="3"/>
  <c r="I291" i="3"/>
  <c r="L290" i="3"/>
  <c r="K290" i="3"/>
  <c r="J290" i="3"/>
  <c r="I290" i="3"/>
  <c r="L289" i="3"/>
  <c r="K289" i="3"/>
  <c r="J289" i="3"/>
  <c r="I289" i="3"/>
  <c r="L288" i="3"/>
  <c r="K288" i="3"/>
  <c r="J288" i="3"/>
  <c r="I288" i="3"/>
  <c r="L287" i="3"/>
  <c r="K287" i="3"/>
  <c r="J287" i="3"/>
  <c r="I287" i="3"/>
  <c r="L286" i="3"/>
  <c r="K286" i="3"/>
  <c r="J286" i="3"/>
  <c r="I286" i="3"/>
  <c r="L285" i="3"/>
  <c r="K285" i="3"/>
  <c r="J285" i="3"/>
  <c r="I285" i="3"/>
  <c r="L284" i="3"/>
  <c r="K284" i="3"/>
  <c r="J284" i="3"/>
  <c r="I284" i="3"/>
  <c r="L283" i="3"/>
  <c r="K283" i="3"/>
  <c r="J283" i="3"/>
  <c r="I283" i="3"/>
  <c r="L282" i="3"/>
  <c r="K282" i="3"/>
  <c r="J282" i="3"/>
  <c r="I282" i="3"/>
  <c r="L281" i="3"/>
  <c r="K281" i="3"/>
  <c r="J281" i="3"/>
  <c r="I281" i="3"/>
  <c r="L280" i="3"/>
  <c r="K280" i="3"/>
  <c r="J280" i="3"/>
  <c r="I280" i="3"/>
  <c r="L279" i="3"/>
  <c r="K279" i="3"/>
  <c r="J279" i="3"/>
  <c r="I279" i="3"/>
  <c r="L278" i="3"/>
  <c r="K278" i="3"/>
  <c r="J278" i="3"/>
  <c r="I278" i="3"/>
  <c r="L277" i="3"/>
  <c r="K277" i="3"/>
  <c r="J277" i="3"/>
  <c r="I277" i="3"/>
  <c r="L276" i="3"/>
  <c r="K276" i="3"/>
  <c r="J276" i="3"/>
  <c r="I276" i="3"/>
  <c r="L275" i="3"/>
  <c r="K275" i="3"/>
  <c r="J275" i="3"/>
  <c r="I275" i="3"/>
  <c r="L274" i="3"/>
  <c r="K274" i="3"/>
  <c r="J274" i="3"/>
  <c r="I274" i="3"/>
  <c r="L273" i="3"/>
  <c r="K273" i="3"/>
  <c r="J273" i="3"/>
  <c r="I273" i="3"/>
  <c r="L272" i="3"/>
  <c r="K272" i="3"/>
  <c r="J272" i="3"/>
  <c r="I272" i="3"/>
  <c r="L271" i="3"/>
  <c r="K271" i="3"/>
  <c r="J271" i="3"/>
  <c r="I271" i="3"/>
  <c r="L270" i="3"/>
  <c r="K270" i="3"/>
  <c r="J270" i="3"/>
  <c r="I270" i="3"/>
  <c r="L269" i="3"/>
  <c r="K269" i="3"/>
  <c r="J269" i="3"/>
  <c r="I269" i="3"/>
  <c r="L268" i="3"/>
  <c r="K268" i="3"/>
  <c r="J268" i="3"/>
  <c r="I268" i="3"/>
  <c r="L267" i="3"/>
  <c r="K267" i="3"/>
  <c r="J267" i="3"/>
  <c r="I267" i="3"/>
  <c r="L266" i="3"/>
  <c r="K266" i="3"/>
  <c r="J266" i="3"/>
  <c r="I266" i="3"/>
  <c r="L265" i="3"/>
  <c r="K265" i="3"/>
  <c r="J265" i="3"/>
  <c r="I265" i="3"/>
  <c r="L264" i="3"/>
  <c r="K264" i="3"/>
  <c r="J264" i="3"/>
  <c r="I264" i="3"/>
  <c r="L263" i="3"/>
  <c r="K263" i="3"/>
  <c r="J263" i="3"/>
  <c r="I263" i="3"/>
  <c r="L262" i="3"/>
  <c r="K262" i="3"/>
  <c r="J262" i="3"/>
  <c r="I262" i="3"/>
  <c r="L261" i="3"/>
  <c r="K261" i="3"/>
  <c r="J261" i="3"/>
  <c r="I261" i="3"/>
  <c r="L260" i="3"/>
  <c r="K260" i="3"/>
  <c r="J260" i="3"/>
  <c r="I260" i="3"/>
  <c r="L259" i="3"/>
  <c r="K259" i="3"/>
  <c r="J259" i="3"/>
  <c r="I259" i="3"/>
  <c r="L258" i="3"/>
  <c r="K258" i="3"/>
  <c r="J258" i="3"/>
  <c r="I258" i="3"/>
  <c r="L257" i="3"/>
  <c r="K257" i="3"/>
  <c r="J257" i="3"/>
  <c r="I257" i="3"/>
  <c r="L256" i="3"/>
  <c r="K256" i="3"/>
  <c r="J256" i="3"/>
  <c r="I256" i="3"/>
  <c r="L255" i="3"/>
  <c r="K255" i="3"/>
  <c r="J255" i="3"/>
  <c r="I255" i="3"/>
  <c r="L254" i="3"/>
  <c r="K254" i="3"/>
  <c r="J254" i="3"/>
  <c r="I254" i="3"/>
  <c r="L253" i="3"/>
  <c r="K253" i="3"/>
  <c r="J253" i="3"/>
  <c r="I253" i="3"/>
  <c r="L252" i="3"/>
  <c r="K252" i="3"/>
  <c r="J252" i="3"/>
  <c r="I252" i="3"/>
  <c r="L251" i="3"/>
  <c r="K251" i="3"/>
  <c r="J251" i="3"/>
  <c r="I251" i="3"/>
  <c r="L250" i="3"/>
  <c r="K250" i="3"/>
  <c r="J250" i="3"/>
  <c r="I250" i="3"/>
  <c r="L249" i="3"/>
  <c r="K249" i="3"/>
  <c r="J249" i="3"/>
  <c r="I249" i="3"/>
  <c r="L248" i="3"/>
  <c r="K248" i="3"/>
  <c r="J248" i="3"/>
  <c r="I248" i="3"/>
  <c r="L247" i="3"/>
  <c r="K247" i="3"/>
  <c r="J247" i="3"/>
  <c r="I247" i="3"/>
  <c r="L246" i="3"/>
  <c r="K246" i="3"/>
  <c r="J246" i="3"/>
  <c r="I246" i="3"/>
  <c r="L245" i="3"/>
  <c r="K245" i="3"/>
  <c r="J245" i="3"/>
  <c r="I245" i="3"/>
  <c r="L244" i="3"/>
  <c r="K244" i="3"/>
  <c r="J244" i="3"/>
  <c r="I244" i="3"/>
  <c r="L243" i="3"/>
  <c r="K243" i="3"/>
  <c r="J243" i="3"/>
  <c r="I243" i="3"/>
  <c r="L242" i="3"/>
  <c r="K242" i="3"/>
  <c r="J242" i="3"/>
  <c r="I242" i="3"/>
  <c r="L241" i="3"/>
  <c r="K241" i="3"/>
  <c r="J241" i="3"/>
  <c r="I241" i="3"/>
  <c r="L240" i="3"/>
  <c r="K240" i="3"/>
  <c r="J240" i="3"/>
  <c r="I240" i="3"/>
  <c r="L239" i="3"/>
  <c r="K239" i="3"/>
  <c r="J239" i="3"/>
  <c r="I239" i="3"/>
  <c r="L238" i="3"/>
  <c r="K238" i="3"/>
  <c r="J238" i="3"/>
  <c r="I238" i="3"/>
  <c r="L237" i="3"/>
  <c r="K237" i="3"/>
  <c r="J237" i="3"/>
  <c r="I237" i="3"/>
  <c r="L236" i="3"/>
  <c r="K236" i="3"/>
  <c r="J236" i="3"/>
  <c r="I236" i="3"/>
  <c r="L235" i="3"/>
  <c r="K235" i="3"/>
  <c r="J235" i="3"/>
  <c r="I235" i="3"/>
  <c r="L234" i="3"/>
  <c r="K234" i="3"/>
  <c r="J234" i="3"/>
  <c r="I234" i="3"/>
  <c r="L233" i="3"/>
  <c r="K233" i="3"/>
  <c r="J233" i="3"/>
  <c r="I233" i="3"/>
  <c r="L232" i="3"/>
  <c r="K232" i="3"/>
  <c r="J232" i="3"/>
  <c r="I232" i="3"/>
  <c r="L231" i="3"/>
  <c r="K231" i="3"/>
  <c r="J231" i="3"/>
  <c r="I231" i="3"/>
  <c r="L230" i="3"/>
  <c r="K230" i="3"/>
  <c r="J230" i="3"/>
  <c r="I230" i="3"/>
  <c r="L229" i="3"/>
  <c r="K229" i="3"/>
  <c r="J229" i="3"/>
  <c r="I229" i="3"/>
  <c r="L228" i="3"/>
  <c r="K228" i="3"/>
  <c r="J228" i="3"/>
  <c r="I228" i="3"/>
  <c r="L227" i="3"/>
  <c r="K227" i="3"/>
  <c r="J227" i="3"/>
  <c r="I227" i="3"/>
  <c r="L226" i="3"/>
  <c r="K226" i="3"/>
  <c r="J226" i="3"/>
  <c r="I226" i="3"/>
  <c r="L225" i="3"/>
  <c r="K225" i="3"/>
  <c r="J225" i="3"/>
  <c r="I225" i="3"/>
  <c r="L224" i="3"/>
  <c r="K224" i="3"/>
  <c r="J224" i="3"/>
  <c r="I224" i="3"/>
  <c r="L223" i="3"/>
  <c r="K223" i="3"/>
  <c r="J223" i="3"/>
  <c r="I223" i="3"/>
  <c r="L222" i="3"/>
  <c r="K222" i="3"/>
  <c r="J222" i="3"/>
  <c r="I222" i="3"/>
  <c r="L221" i="3"/>
  <c r="K221" i="3"/>
  <c r="J221" i="3"/>
  <c r="I221" i="3"/>
  <c r="L220" i="3"/>
  <c r="K220" i="3"/>
  <c r="J220" i="3"/>
  <c r="I220" i="3"/>
  <c r="L219" i="3"/>
  <c r="K219" i="3"/>
  <c r="J219" i="3"/>
  <c r="I219" i="3"/>
  <c r="L218" i="3"/>
  <c r="K218" i="3"/>
  <c r="J218" i="3"/>
  <c r="I218" i="3"/>
  <c r="L217" i="3"/>
  <c r="K217" i="3"/>
  <c r="J217" i="3"/>
  <c r="I217" i="3"/>
  <c r="L216" i="3"/>
  <c r="K216" i="3"/>
  <c r="J216" i="3"/>
  <c r="I216" i="3"/>
  <c r="L215" i="3"/>
  <c r="K215" i="3"/>
  <c r="J215" i="3"/>
  <c r="I215" i="3"/>
  <c r="L214" i="3"/>
  <c r="K214" i="3"/>
  <c r="J214" i="3"/>
  <c r="I214" i="3"/>
  <c r="L213" i="3"/>
  <c r="K213" i="3"/>
  <c r="J213" i="3"/>
  <c r="I213" i="3"/>
  <c r="L212" i="3"/>
  <c r="K212" i="3"/>
  <c r="J212" i="3"/>
  <c r="I212" i="3"/>
  <c r="L211" i="3"/>
  <c r="K211" i="3"/>
  <c r="J211" i="3"/>
  <c r="I211" i="3"/>
  <c r="L210" i="3"/>
  <c r="K210" i="3"/>
  <c r="J210" i="3"/>
  <c r="I210" i="3"/>
  <c r="L209" i="3"/>
  <c r="K209" i="3"/>
  <c r="J209" i="3"/>
  <c r="I209" i="3"/>
  <c r="L208" i="3"/>
  <c r="K208" i="3"/>
  <c r="J208" i="3"/>
  <c r="I208" i="3"/>
  <c r="L207" i="3"/>
  <c r="K207" i="3"/>
  <c r="J207" i="3"/>
  <c r="I207" i="3"/>
  <c r="L206" i="3"/>
  <c r="K206" i="3"/>
  <c r="J206" i="3"/>
  <c r="I206" i="3"/>
  <c r="L205" i="3"/>
  <c r="K205" i="3"/>
  <c r="J205" i="3"/>
  <c r="I205" i="3"/>
  <c r="L204" i="3"/>
  <c r="K204" i="3"/>
  <c r="J204" i="3"/>
  <c r="I204" i="3"/>
  <c r="L203" i="3"/>
  <c r="K203" i="3"/>
  <c r="J203" i="3"/>
  <c r="I203" i="3"/>
  <c r="L202" i="3"/>
  <c r="K202" i="3"/>
  <c r="J202" i="3"/>
  <c r="I202" i="3"/>
  <c r="L201" i="3"/>
  <c r="K201" i="3"/>
  <c r="J201" i="3"/>
  <c r="I201" i="3"/>
  <c r="L200" i="3"/>
  <c r="K200" i="3"/>
  <c r="J200" i="3"/>
  <c r="I200" i="3"/>
  <c r="L199" i="3"/>
  <c r="K199" i="3"/>
  <c r="J199" i="3"/>
  <c r="I199" i="3"/>
  <c r="L198" i="3"/>
  <c r="K198" i="3"/>
  <c r="J198" i="3"/>
  <c r="I198" i="3"/>
  <c r="L197" i="3"/>
  <c r="K197" i="3"/>
  <c r="J197" i="3"/>
  <c r="I197" i="3"/>
  <c r="L196" i="3"/>
  <c r="K196" i="3"/>
  <c r="J196" i="3"/>
  <c r="I196" i="3"/>
  <c r="L195" i="3"/>
  <c r="K195" i="3"/>
  <c r="J195" i="3"/>
  <c r="I195" i="3"/>
  <c r="L194" i="3"/>
  <c r="K194" i="3"/>
  <c r="J194" i="3"/>
  <c r="I194" i="3"/>
  <c r="L193" i="3"/>
  <c r="K193" i="3"/>
  <c r="J193" i="3"/>
  <c r="I193" i="3"/>
  <c r="L192" i="3"/>
  <c r="K192" i="3"/>
  <c r="J192" i="3"/>
  <c r="I192" i="3"/>
  <c r="L191" i="3"/>
  <c r="K191" i="3"/>
  <c r="J191" i="3"/>
  <c r="I191" i="3"/>
  <c r="L190" i="3"/>
  <c r="K190" i="3"/>
  <c r="J190" i="3"/>
  <c r="I190" i="3"/>
  <c r="L189" i="3"/>
  <c r="K189" i="3"/>
  <c r="J189" i="3"/>
  <c r="I189" i="3"/>
  <c r="L188" i="3"/>
  <c r="K188" i="3"/>
  <c r="J188" i="3"/>
  <c r="I188" i="3"/>
  <c r="L187" i="3"/>
  <c r="K187" i="3"/>
  <c r="J187" i="3"/>
  <c r="I187" i="3"/>
  <c r="L186" i="3"/>
  <c r="K186" i="3"/>
  <c r="J186" i="3"/>
  <c r="I186" i="3"/>
  <c r="L185" i="3"/>
  <c r="K185" i="3"/>
  <c r="J185" i="3"/>
  <c r="I185" i="3"/>
  <c r="L184" i="3"/>
  <c r="K184" i="3"/>
  <c r="J184" i="3"/>
  <c r="I184" i="3"/>
  <c r="L183" i="3"/>
  <c r="K183" i="3"/>
  <c r="J183" i="3"/>
  <c r="I183" i="3"/>
  <c r="L182" i="3"/>
  <c r="K182" i="3"/>
  <c r="J182" i="3"/>
  <c r="I182" i="3"/>
  <c r="L181" i="3"/>
  <c r="K181" i="3"/>
  <c r="J181" i="3"/>
  <c r="I181" i="3"/>
  <c r="L180" i="3"/>
  <c r="K180" i="3"/>
  <c r="J180" i="3"/>
  <c r="I180" i="3"/>
  <c r="L179" i="3"/>
  <c r="K179" i="3"/>
  <c r="J179" i="3"/>
  <c r="I179" i="3"/>
  <c r="L178" i="3"/>
  <c r="K178" i="3"/>
  <c r="J178" i="3"/>
  <c r="I178" i="3"/>
  <c r="L177" i="3"/>
  <c r="K177" i="3"/>
  <c r="J177" i="3"/>
  <c r="I177" i="3"/>
  <c r="L176" i="3"/>
  <c r="K176" i="3"/>
  <c r="J176" i="3"/>
  <c r="I176" i="3"/>
  <c r="L175" i="3"/>
  <c r="K175" i="3"/>
  <c r="J175" i="3"/>
  <c r="I175" i="3"/>
  <c r="L174" i="3"/>
  <c r="K174" i="3"/>
  <c r="J174" i="3"/>
  <c r="I174" i="3"/>
  <c r="L173" i="3"/>
  <c r="K173" i="3"/>
  <c r="J173" i="3"/>
  <c r="I173" i="3"/>
  <c r="L172" i="3"/>
  <c r="K172" i="3"/>
  <c r="J172" i="3"/>
  <c r="I172" i="3"/>
  <c r="L171" i="3"/>
  <c r="K171" i="3"/>
  <c r="J171" i="3"/>
  <c r="I171" i="3"/>
  <c r="L170" i="3"/>
  <c r="K170" i="3"/>
  <c r="J170" i="3"/>
  <c r="I170" i="3"/>
  <c r="L169" i="3"/>
  <c r="K169" i="3"/>
  <c r="J169" i="3"/>
  <c r="I169" i="3"/>
  <c r="L168" i="3"/>
  <c r="K168" i="3"/>
  <c r="J168" i="3"/>
  <c r="I168" i="3"/>
  <c r="L167" i="3"/>
  <c r="K167" i="3"/>
  <c r="J167" i="3"/>
  <c r="I167" i="3"/>
  <c r="L166" i="3"/>
  <c r="K166" i="3"/>
  <c r="J166" i="3"/>
  <c r="I166" i="3"/>
  <c r="L165" i="3"/>
  <c r="K165" i="3"/>
  <c r="J165" i="3"/>
  <c r="I165" i="3"/>
  <c r="L164" i="3"/>
  <c r="K164" i="3"/>
  <c r="J164" i="3"/>
  <c r="I164" i="3"/>
  <c r="L163" i="3"/>
  <c r="K163" i="3"/>
  <c r="J163" i="3"/>
  <c r="I163" i="3"/>
  <c r="L162" i="3"/>
  <c r="K162" i="3"/>
  <c r="J162" i="3"/>
  <c r="I162" i="3"/>
  <c r="L161" i="3"/>
  <c r="K161" i="3"/>
  <c r="J161" i="3"/>
  <c r="I161" i="3"/>
  <c r="L160" i="3"/>
  <c r="K160" i="3"/>
  <c r="J160" i="3"/>
  <c r="I160" i="3"/>
  <c r="L159" i="3"/>
  <c r="K159" i="3"/>
  <c r="J159" i="3"/>
  <c r="I159" i="3"/>
  <c r="L158" i="3"/>
  <c r="K158" i="3"/>
  <c r="J158" i="3"/>
  <c r="I158" i="3"/>
  <c r="L157" i="3"/>
  <c r="K157" i="3"/>
  <c r="J157" i="3"/>
  <c r="I157" i="3"/>
  <c r="L156" i="3"/>
  <c r="K156" i="3"/>
  <c r="J156" i="3"/>
  <c r="I156" i="3"/>
  <c r="L155" i="3"/>
  <c r="K155" i="3"/>
  <c r="J155" i="3"/>
  <c r="I155" i="3"/>
  <c r="L154" i="3"/>
  <c r="K154" i="3"/>
  <c r="J154" i="3"/>
  <c r="I154" i="3"/>
  <c r="L153" i="3"/>
  <c r="K153" i="3"/>
  <c r="J153" i="3"/>
  <c r="I153" i="3"/>
  <c r="L152" i="3"/>
  <c r="K152" i="3"/>
  <c r="J152" i="3"/>
  <c r="I152" i="3"/>
  <c r="L151" i="3"/>
  <c r="K151" i="3"/>
  <c r="J151" i="3"/>
  <c r="I151" i="3"/>
  <c r="L150" i="3"/>
  <c r="K150" i="3"/>
  <c r="J150" i="3"/>
  <c r="I150" i="3"/>
  <c r="L149" i="3"/>
  <c r="K149" i="3"/>
  <c r="J149" i="3"/>
  <c r="I149" i="3"/>
  <c r="L148" i="3"/>
  <c r="K148" i="3"/>
  <c r="J148" i="3"/>
  <c r="I148" i="3"/>
  <c r="L147" i="3"/>
  <c r="K147" i="3"/>
  <c r="J147" i="3"/>
  <c r="I147" i="3"/>
  <c r="L146" i="3"/>
  <c r="K146" i="3"/>
  <c r="J146" i="3"/>
  <c r="I146" i="3"/>
  <c r="L145" i="3"/>
  <c r="K145" i="3"/>
  <c r="J145" i="3"/>
  <c r="I145" i="3"/>
  <c r="L144" i="3"/>
  <c r="K144" i="3"/>
  <c r="J144" i="3"/>
  <c r="I144" i="3"/>
  <c r="L143" i="3"/>
  <c r="K143" i="3"/>
  <c r="J143" i="3"/>
  <c r="I143" i="3"/>
  <c r="L142" i="3"/>
  <c r="K142" i="3"/>
  <c r="J142" i="3"/>
  <c r="I142" i="3"/>
  <c r="L141" i="3"/>
  <c r="K141" i="3"/>
  <c r="J141" i="3"/>
  <c r="I141" i="3"/>
  <c r="L140" i="3"/>
  <c r="K140" i="3"/>
  <c r="J140" i="3"/>
  <c r="I140" i="3"/>
  <c r="L139" i="3"/>
  <c r="K139" i="3"/>
  <c r="J139" i="3"/>
  <c r="I139" i="3"/>
  <c r="L138" i="3"/>
  <c r="K138" i="3"/>
  <c r="J138" i="3"/>
  <c r="I138" i="3"/>
  <c r="L137" i="3"/>
  <c r="K137" i="3"/>
  <c r="J137" i="3"/>
  <c r="I137" i="3"/>
  <c r="L136" i="3"/>
  <c r="K136" i="3"/>
  <c r="J136" i="3"/>
  <c r="I136" i="3"/>
  <c r="L135" i="3"/>
  <c r="K135" i="3"/>
  <c r="J135" i="3"/>
  <c r="I135" i="3"/>
  <c r="L134" i="3"/>
  <c r="K134" i="3"/>
  <c r="J134" i="3"/>
  <c r="I134" i="3"/>
  <c r="L133" i="3"/>
  <c r="K133" i="3"/>
  <c r="J133" i="3"/>
  <c r="I133" i="3"/>
  <c r="L132" i="3"/>
  <c r="K132" i="3"/>
  <c r="J132" i="3"/>
  <c r="I132" i="3"/>
  <c r="L131" i="3"/>
  <c r="K131" i="3"/>
  <c r="J131" i="3"/>
  <c r="I131" i="3"/>
  <c r="L130" i="3"/>
  <c r="K130" i="3"/>
  <c r="J130" i="3"/>
  <c r="I130" i="3"/>
  <c r="L129" i="3"/>
  <c r="K129" i="3"/>
  <c r="J129" i="3"/>
  <c r="I129" i="3"/>
  <c r="L128" i="3"/>
  <c r="K128" i="3"/>
  <c r="J128" i="3"/>
  <c r="I128" i="3"/>
  <c r="L127" i="3"/>
  <c r="K127" i="3"/>
  <c r="J127" i="3"/>
  <c r="I127" i="3"/>
  <c r="L126" i="3"/>
  <c r="K126" i="3"/>
  <c r="J126" i="3"/>
  <c r="I126" i="3"/>
  <c r="L125" i="3"/>
  <c r="K125" i="3"/>
  <c r="J125" i="3"/>
  <c r="I125" i="3"/>
  <c r="L124" i="3"/>
  <c r="K124" i="3"/>
  <c r="J124" i="3"/>
  <c r="I124" i="3"/>
  <c r="L123" i="3"/>
  <c r="K123" i="3"/>
  <c r="J123" i="3"/>
  <c r="I123" i="3"/>
  <c r="L122" i="3"/>
  <c r="K122" i="3"/>
  <c r="J122" i="3"/>
  <c r="I122" i="3"/>
  <c r="L121" i="3"/>
  <c r="K121" i="3"/>
  <c r="J121" i="3"/>
  <c r="I121" i="3"/>
  <c r="L120" i="3"/>
  <c r="K120" i="3"/>
  <c r="J120" i="3"/>
  <c r="I120" i="3"/>
  <c r="L119" i="3"/>
  <c r="K119" i="3"/>
  <c r="J119" i="3"/>
  <c r="I119" i="3"/>
  <c r="L118" i="3"/>
  <c r="K118" i="3"/>
  <c r="J118" i="3"/>
  <c r="I118" i="3"/>
  <c r="L117" i="3"/>
  <c r="K117" i="3"/>
  <c r="J117" i="3"/>
  <c r="I117" i="3"/>
  <c r="L116" i="3"/>
  <c r="K116" i="3"/>
  <c r="J116" i="3"/>
  <c r="I116" i="3"/>
  <c r="L115" i="3"/>
  <c r="K115" i="3"/>
  <c r="J115" i="3"/>
  <c r="I115" i="3"/>
  <c r="L114" i="3"/>
  <c r="K114" i="3"/>
  <c r="J114" i="3"/>
  <c r="I114" i="3"/>
  <c r="L113" i="3"/>
  <c r="K113" i="3"/>
  <c r="J113" i="3"/>
  <c r="I113" i="3"/>
  <c r="L112" i="3"/>
  <c r="K112" i="3"/>
  <c r="J112" i="3"/>
  <c r="I112" i="3"/>
  <c r="L111" i="3"/>
  <c r="K111" i="3"/>
  <c r="J111" i="3"/>
  <c r="I111" i="3"/>
  <c r="L110" i="3"/>
  <c r="K110" i="3"/>
  <c r="J110" i="3"/>
  <c r="I110" i="3"/>
  <c r="L109" i="3"/>
  <c r="K109" i="3"/>
  <c r="J109" i="3"/>
  <c r="I109" i="3"/>
  <c r="L108" i="3"/>
  <c r="K108" i="3"/>
  <c r="J108" i="3"/>
  <c r="I108" i="3"/>
  <c r="L107" i="3"/>
  <c r="K107" i="3"/>
  <c r="J107" i="3"/>
  <c r="I107" i="3"/>
  <c r="L106" i="3"/>
  <c r="K106" i="3"/>
  <c r="J106" i="3"/>
  <c r="I106" i="3"/>
  <c r="L105" i="3"/>
  <c r="K105" i="3"/>
  <c r="J105" i="3"/>
  <c r="I105" i="3"/>
  <c r="L104" i="3"/>
  <c r="K104" i="3"/>
  <c r="J104" i="3"/>
  <c r="I104" i="3"/>
  <c r="L103" i="3"/>
  <c r="K103" i="3"/>
  <c r="J103" i="3"/>
  <c r="I103" i="3"/>
  <c r="L102" i="3"/>
  <c r="K102" i="3"/>
  <c r="J102" i="3"/>
  <c r="I102" i="3"/>
  <c r="L101" i="3"/>
  <c r="K101" i="3"/>
  <c r="J101" i="3"/>
  <c r="I101" i="3"/>
  <c r="L100" i="3"/>
  <c r="K100" i="3"/>
  <c r="J100" i="3"/>
  <c r="I100" i="3"/>
  <c r="L99" i="3"/>
  <c r="K99" i="3"/>
  <c r="J99" i="3"/>
  <c r="I99" i="3"/>
  <c r="L98" i="3"/>
  <c r="K98" i="3"/>
  <c r="J98" i="3"/>
  <c r="I98" i="3"/>
  <c r="L97" i="3"/>
  <c r="K97" i="3"/>
  <c r="J97" i="3"/>
  <c r="I97" i="3"/>
  <c r="L96" i="3"/>
  <c r="K96" i="3"/>
  <c r="J96" i="3"/>
  <c r="I96" i="3"/>
  <c r="L95" i="3"/>
  <c r="K95" i="3"/>
  <c r="J95" i="3"/>
  <c r="I95" i="3"/>
  <c r="L94" i="3"/>
  <c r="K94" i="3"/>
  <c r="J94" i="3"/>
  <c r="I94" i="3"/>
  <c r="L93" i="3"/>
  <c r="K93" i="3"/>
  <c r="J93" i="3"/>
  <c r="I93" i="3"/>
  <c r="L92" i="3"/>
  <c r="K92" i="3"/>
  <c r="J92" i="3"/>
  <c r="I92" i="3"/>
  <c r="L91" i="3"/>
  <c r="K91" i="3"/>
  <c r="J91" i="3"/>
  <c r="I91" i="3"/>
  <c r="L90" i="3"/>
  <c r="K90" i="3"/>
  <c r="J90" i="3"/>
  <c r="I90" i="3"/>
  <c r="L89" i="3"/>
  <c r="K89" i="3"/>
  <c r="J89" i="3"/>
  <c r="I89" i="3"/>
  <c r="L88" i="3"/>
  <c r="K88" i="3"/>
  <c r="J88" i="3"/>
  <c r="I88" i="3"/>
  <c r="L87" i="3"/>
  <c r="K87" i="3"/>
  <c r="J87" i="3"/>
  <c r="I87" i="3"/>
  <c r="L86" i="3"/>
  <c r="K86" i="3"/>
  <c r="J86" i="3"/>
  <c r="I86" i="3"/>
  <c r="L85" i="3"/>
  <c r="K85" i="3"/>
  <c r="J85" i="3"/>
  <c r="I85" i="3"/>
  <c r="L84" i="3"/>
  <c r="K84" i="3"/>
  <c r="J84" i="3"/>
  <c r="I84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79" i="3"/>
  <c r="K79" i="3"/>
  <c r="J79" i="3"/>
  <c r="I79" i="3"/>
  <c r="L78" i="3"/>
  <c r="K78" i="3"/>
  <c r="J78" i="3"/>
  <c r="I78" i="3"/>
  <c r="L77" i="3"/>
  <c r="K77" i="3"/>
  <c r="J77" i="3"/>
  <c r="I77" i="3"/>
  <c r="L76" i="3"/>
  <c r="K76" i="3"/>
  <c r="J76" i="3"/>
  <c r="I76" i="3"/>
  <c r="L75" i="3"/>
  <c r="K75" i="3"/>
  <c r="J75" i="3"/>
  <c r="I75" i="3"/>
  <c r="L74" i="3"/>
  <c r="K74" i="3"/>
  <c r="J74" i="3"/>
  <c r="I74" i="3"/>
  <c r="L73" i="3"/>
  <c r="K73" i="3"/>
  <c r="J73" i="3"/>
  <c r="I73" i="3"/>
  <c r="L72" i="3"/>
  <c r="K72" i="3"/>
  <c r="J72" i="3"/>
  <c r="I72" i="3"/>
  <c r="L71" i="3"/>
  <c r="K71" i="3"/>
  <c r="J71" i="3"/>
  <c r="I71" i="3"/>
  <c r="L70" i="3"/>
  <c r="K70" i="3"/>
  <c r="J70" i="3"/>
  <c r="I70" i="3"/>
  <c r="L69" i="3"/>
  <c r="K69" i="3"/>
  <c r="J69" i="3"/>
  <c r="I69" i="3"/>
  <c r="L68" i="3"/>
  <c r="K68" i="3"/>
  <c r="J68" i="3"/>
  <c r="I68" i="3"/>
  <c r="L67" i="3"/>
  <c r="K67" i="3"/>
  <c r="J67" i="3"/>
  <c r="I67" i="3"/>
  <c r="L66" i="3"/>
  <c r="K66" i="3"/>
  <c r="J66" i="3"/>
  <c r="I66" i="3"/>
  <c r="L65" i="3"/>
  <c r="K65" i="3"/>
  <c r="J65" i="3"/>
  <c r="I65" i="3"/>
  <c r="L64" i="3"/>
  <c r="K64" i="3"/>
  <c r="J64" i="3"/>
  <c r="I64" i="3"/>
  <c r="L63" i="3"/>
  <c r="K63" i="3"/>
  <c r="J63" i="3"/>
  <c r="I63" i="3"/>
  <c r="L62" i="3"/>
  <c r="K62" i="3"/>
  <c r="J62" i="3"/>
  <c r="I62" i="3"/>
  <c r="L61" i="3"/>
  <c r="K61" i="3"/>
  <c r="J61" i="3"/>
  <c r="I61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56" i="3"/>
  <c r="K56" i="3"/>
  <c r="J56" i="3"/>
  <c r="I56" i="3"/>
  <c r="L55" i="3"/>
  <c r="K55" i="3"/>
  <c r="J55" i="3"/>
  <c r="I55" i="3"/>
  <c r="L54" i="3"/>
  <c r="K54" i="3"/>
  <c r="J54" i="3"/>
  <c r="I54" i="3"/>
  <c r="L53" i="3"/>
  <c r="K53" i="3"/>
  <c r="J53" i="3"/>
  <c r="I53" i="3"/>
  <c r="L52" i="3"/>
  <c r="K52" i="3"/>
  <c r="J52" i="3"/>
  <c r="I52" i="3"/>
  <c r="L51" i="3"/>
  <c r="K51" i="3"/>
  <c r="J51" i="3"/>
  <c r="I51" i="3"/>
  <c r="L50" i="3"/>
  <c r="K50" i="3"/>
  <c r="J50" i="3"/>
  <c r="I50" i="3"/>
  <c r="L49" i="3"/>
  <c r="K49" i="3"/>
  <c r="J49" i="3"/>
  <c r="I49" i="3"/>
  <c r="L48" i="3"/>
  <c r="K48" i="3"/>
  <c r="J48" i="3"/>
  <c r="I48" i="3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35" i="3"/>
  <c r="K35" i="3"/>
  <c r="J35" i="3"/>
  <c r="I35" i="3"/>
  <c r="L34" i="3"/>
  <c r="K34" i="3"/>
  <c r="J34" i="3"/>
  <c r="I34" i="3"/>
  <c r="L33" i="3"/>
  <c r="K33" i="3"/>
  <c r="J33" i="3"/>
  <c r="I33" i="3"/>
  <c r="L32" i="3"/>
  <c r="K32" i="3"/>
  <c r="J32" i="3"/>
  <c r="I32" i="3"/>
  <c r="L31" i="3"/>
  <c r="K31" i="3"/>
  <c r="J31" i="3"/>
  <c r="I31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L23" i="3"/>
  <c r="K23" i="3"/>
  <c r="J23" i="3"/>
  <c r="I23" i="3"/>
  <c r="L22" i="3"/>
  <c r="K22" i="3"/>
  <c r="J22" i="3"/>
  <c r="I22" i="3"/>
  <c r="L21" i="3"/>
  <c r="K21" i="3"/>
  <c r="J21" i="3"/>
  <c r="I21" i="3"/>
  <c r="L20" i="3"/>
  <c r="K20" i="3"/>
  <c r="J20" i="3"/>
  <c r="I20" i="3"/>
  <c r="L19" i="3"/>
  <c r="K19" i="3"/>
  <c r="J19" i="3"/>
  <c r="I19" i="3"/>
  <c r="L18" i="3"/>
  <c r="K18" i="3"/>
  <c r="J18" i="3"/>
  <c r="I18" i="3"/>
  <c r="Z17" i="3"/>
  <c r="U17" i="3"/>
  <c r="L17" i="3"/>
  <c r="K17" i="3"/>
  <c r="J17" i="3"/>
  <c r="I17" i="3"/>
  <c r="W16" i="3"/>
  <c r="L16" i="3"/>
  <c r="K16" i="3"/>
  <c r="J16" i="3"/>
  <c r="I16" i="3"/>
  <c r="L15" i="3"/>
  <c r="K15" i="3"/>
  <c r="J15" i="3"/>
  <c r="I15" i="3"/>
  <c r="L14" i="3"/>
  <c r="K14" i="3"/>
  <c r="J14" i="3"/>
  <c r="I14" i="3"/>
  <c r="L13" i="3"/>
  <c r="K13" i="3"/>
  <c r="J13" i="3"/>
  <c r="I13" i="3"/>
  <c r="AG12" i="3"/>
  <c r="L12" i="3"/>
  <c r="K12" i="3"/>
  <c r="J12" i="3"/>
  <c r="I12" i="3"/>
  <c r="S11" i="3" s="1"/>
  <c r="AI11" i="3"/>
  <c r="L11" i="3"/>
  <c r="K11" i="3"/>
  <c r="J11" i="3"/>
  <c r="I11" i="3"/>
  <c r="X10" i="3"/>
  <c r="L10" i="3"/>
  <c r="K10" i="3"/>
  <c r="J10" i="3"/>
  <c r="I10" i="3"/>
  <c r="L9" i="3"/>
  <c r="K9" i="3"/>
  <c r="J9" i="3"/>
  <c r="I9" i="3"/>
  <c r="T8" i="3"/>
  <c r="L8" i="3"/>
  <c r="K8" i="3"/>
  <c r="J8" i="3"/>
  <c r="I8" i="3"/>
  <c r="S7" i="3"/>
  <c r="R7" i="3"/>
  <c r="L7" i="3"/>
  <c r="K7" i="3"/>
  <c r="J7" i="3"/>
  <c r="I7" i="3"/>
  <c r="AA6" i="3"/>
  <c r="S6" i="3"/>
  <c r="L6" i="3"/>
  <c r="K6" i="3"/>
  <c r="J6" i="3"/>
  <c r="I6" i="3"/>
  <c r="L5" i="3"/>
  <c r="K5" i="3"/>
  <c r="J5" i="3"/>
  <c r="I5" i="3"/>
  <c r="AI18" i="3" s="1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L4" i="3"/>
  <c r="K4" i="3"/>
  <c r="J4" i="3"/>
  <c r="I4" i="3"/>
  <c r="L3" i="3"/>
  <c r="K3" i="3"/>
  <c r="J3" i="3"/>
  <c r="I3" i="3"/>
  <c r="L2" i="3"/>
  <c r="K2" i="3"/>
  <c r="J2" i="3"/>
  <c r="I2" i="3"/>
  <c r="X16" i="3" l="1"/>
  <c r="AA16" i="3"/>
  <c r="AF6" i="3"/>
  <c r="AA7" i="3"/>
  <c r="U8" i="3"/>
  <c r="S9" i="3"/>
  <c r="AF16" i="3"/>
  <c r="S22" i="3"/>
  <c r="AI16" i="3"/>
  <c r="AC8" i="3"/>
  <c r="S10" i="3"/>
  <c r="X9" i="3"/>
  <c r="Y14" i="3"/>
  <c r="T19" i="3"/>
  <c r="AF21" i="3"/>
  <c r="AG8" i="3"/>
  <c r="AF9" i="3"/>
  <c r="Y10" i="3"/>
  <c r="U11" i="3"/>
  <c r="U12" i="3"/>
  <c r="X13" i="3"/>
  <c r="AA14" i="3"/>
  <c r="AF14" i="3"/>
  <c r="AE13" i="3"/>
  <c r="AB12" i="3"/>
  <c r="Z11" i="3"/>
  <c r="Z10" i="3"/>
  <c r="Y9" i="3"/>
  <c r="V8" i="3"/>
  <c r="AH7" i="3"/>
  <c r="T7" i="3"/>
  <c r="AH6" i="3"/>
  <c r="AH29" i="3"/>
  <c r="AF25" i="3"/>
  <c r="AA22" i="3"/>
  <c r="W20" i="3"/>
  <c r="AC17" i="3"/>
  <c r="Y16" i="3"/>
  <c r="R14" i="3"/>
  <c r="U6" i="3"/>
  <c r="AB19" i="3"/>
  <c r="AI30" i="3"/>
  <c r="S26" i="3"/>
  <c r="T23" i="3"/>
  <c r="AA30" i="3"/>
  <c r="AG29" i="3"/>
  <c r="AF28" i="3"/>
  <c r="AD27" i="3"/>
  <c r="R26" i="3"/>
  <c r="Z25" i="3"/>
  <c r="AF24" i="3"/>
  <c r="Z22" i="3"/>
  <c r="AH21" i="3"/>
  <c r="V20" i="3"/>
  <c r="V19" i="3"/>
  <c r="AH18" i="3"/>
  <c r="Y17" i="3"/>
  <c r="T30" i="3"/>
  <c r="Z29" i="3"/>
  <c r="AE28" i="3"/>
  <c r="AC27" i="3"/>
  <c r="AI26" i="3"/>
  <c r="Y25" i="3"/>
  <c r="AE24" i="3"/>
  <c r="T22" i="3"/>
  <c r="AG21" i="3"/>
  <c r="U19" i="3"/>
  <c r="AB18" i="3"/>
  <c r="X17" i="3"/>
  <c r="AG16" i="3"/>
  <c r="V16" i="3"/>
  <c r="Z14" i="3"/>
  <c r="Y13" i="3"/>
  <c r="V12" i="3"/>
  <c r="AH11" i="3"/>
  <c r="T11" i="3"/>
  <c r="AH10" i="3"/>
  <c r="U10" i="3"/>
  <c r="AG9" i="3"/>
  <c r="V9" i="3"/>
  <c r="AD8" i="3"/>
  <c r="AB7" i="3"/>
  <c r="AC6" i="3"/>
  <c r="S30" i="3"/>
  <c r="Y29" i="3"/>
  <c r="X28" i="3"/>
  <c r="V27" i="3"/>
  <c r="AH26" i="3"/>
  <c r="X25" i="3"/>
  <c r="AD24" i="3"/>
  <c r="AI9" i="3"/>
  <c r="AG10" i="3"/>
  <c r="W11" i="3"/>
  <c r="W12" i="3"/>
  <c r="AA13" i="3"/>
  <c r="AC14" i="3"/>
  <c r="AA18" i="3"/>
  <c r="AG6" i="3"/>
  <c r="AC7" i="3"/>
  <c r="W9" i="3"/>
  <c r="AE7" i="3"/>
  <c r="AE8" i="3"/>
  <c r="R6" i="3"/>
  <c r="AI10" i="3"/>
  <c r="AE11" i="3"/>
  <c r="Y12" i="3"/>
  <c r="AD13" i="3"/>
  <c r="S16" i="3"/>
  <c r="AD23" i="3"/>
  <c r="R18" i="3"/>
  <c r="AC19" i="3"/>
  <c r="X20" i="3"/>
  <c r="R21" i="3"/>
  <c r="AB22" i="3"/>
  <c r="U23" i="3"/>
  <c r="AG25" i="3"/>
  <c r="T26" i="3"/>
  <c r="X6" i="3"/>
  <c r="W30" i="3"/>
  <c r="AD30" i="3"/>
  <c r="V30" i="3"/>
  <c r="AB29" i="3"/>
  <c r="T29" i="3"/>
  <c r="AH28" i="3"/>
  <c r="Z28" i="3"/>
  <c r="R28" i="3"/>
  <c r="AF27" i="3"/>
  <c r="X27" i="3"/>
  <c r="AD26" i="3"/>
  <c r="V26" i="3"/>
  <c r="AB25" i="3"/>
  <c r="T25" i="3"/>
  <c r="AH24" i="3"/>
  <c r="Z24" i="3"/>
  <c r="R24" i="3"/>
  <c r="AF23" i="3"/>
  <c r="X23" i="3"/>
  <c r="AD22" i="3"/>
  <c r="V22" i="3"/>
  <c r="AB21" i="3"/>
  <c r="T21" i="3"/>
  <c r="AH20" i="3"/>
  <c r="Z20" i="3"/>
  <c r="R20" i="3"/>
  <c r="AF19" i="3"/>
  <c r="X19" i="3"/>
  <c r="AD18" i="3"/>
  <c r="V18" i="3"/>
  <c r="AB17" i="3"/>
  <c r="T17" i="3"/>
  <c r="AH16" i="3"/>
  <c r="Z16" i="3"/>
  <c r="R16" i="3"/>
  <c r="AB14" i="3"/>
  <c r="T14" i="3"/>
  <c r="AH13" i="3"/>
  <c r="Z13" i="3"/>
  <c r="R13" i="3"/>
  <c r="AF12" i="3"/>
  <c r="X12" i="3"/>
  <c r="AD11" i="3"/>
  <c r="V11" i="3"/>
  <c r="AB10" i="3"/>
  <c r="T10" i="3"/>
  <c r="AH9" i="3"/>
  <c r="Z9" i="3"/>
  <c r="R9" i="3"/>
  <c r="AF8" i="3"/>
  <c r="X8" i="3"/>
  <c r="AD7" i="3"/>
  <c r="V7" i="3"/>
  <c r="AB6" i="3"/>
  <c r="T6" i="3"/>
  <c r="U30" i="3"/>
  <c r="AI29" i="3"/>
  <c r="AA29" i="3"/>
  <c r="S29" i="3"/>
  <c r="AG28" i="3"/>
  <c r="Y28" i="3"/>
  <c r="AE27" i="3"/>
  <c r="W27" i="3"/>
  <c r="AC26" i="3"/>
  <c r="U26" i="3"/>
  <c r="AI25" i="3"/>
  <c r="AA25" i="3"/>
  <c r="S25" i="3"/>
  <c r="AG24" i="3"/>
  <c r="Y24" i="3"/>
  <c r="AE23" i="3"/>
  <c r="W23" i="3"/>
  <c r="AC22" i="3"/>
  <c r="U22" i="3"/>
  <c r="AI21" i="3"/>
  <c r="AA21" i="3"/>
  <c r="S21" i="3"/>
  <c r="AG20" i="3"/>
  <c r="Y20" i="3"/>
  <c r="AE19" i="3"/>
  <c r="W19" i="3"/>
  <c r="AC18" i="3"/>
  <c r="U18" i="3"/>
  <c r="AI17" i="3"/>
  <c r="AA17" i="3"/>
  <c r="S17" i="3"/>
  <c r="AC30" i="3"/>
  <c r="AB30" i="3"/>
  <c r="AH30" i="3"/>
  <c r="Z30" i="3"/>
  <c r="R30" i="3"/>
  <c r="AF29" i="3"/>
  <c r="X29" i="3"/>
  <c r="AD28" i="3"/>
  <c r="V28" i="3"/>
  <c r="AB27" i="3"/>
  <c r="AG30" i="3"/>
  <c r="Y30" i="3"/>
  <c r="AE29" i="3"/>
  <c r="W29" i="3"/>
  <c r="AC28" i="3"/>
  <c r="U28" i="3"/>
  <c r="AI27" i="3"/>
  <c r="AA27" i="3"/>
  <c r="S27" i="3"/>
  <c r="AG26" i="3"/>
  <c r="Y26" i="3"/>
  <c r="AE25" i="3"/>
  <c r="W25" i="3"/>
  <c r="AC24" i="3"/>
  <c r="U24" i="3"/>
  <c r="AI23" i="3"/>
  <c r="AA23" i="3"/>
  <c r="S23" i="3"/>
  <c r="AG22" i="3"/>
  <c r="Y22" i="3"/>
  <c r="AE21" i="3"/>
  <c r="W21" i="3"/>
  <c r="AC20" i="3"/>
  <c r="U20" i="3"/>
  <c r="AI19" i="3"/>
  <c r="AA19" i="3"/>
  <c r="S19" i="3"/>
  <c r="AG18" i="3"/>
  <c r="Y18" i="3"/>
  <c r="AE17" i="3"/>
  <c r="W17" i="3"/>
  <c r="AC16" i="3"/>
  <c r="U16" i="3"/>
  <c r="AE14" i="3"/>
  <c r="W14" i="3"/>
  <c r="AC13" i="3"/>
  <c r="U13" i="3"/>
  <c r="AI12" i="3"/>
  <c r="AA12" i="3"/>
  <c r="S12" i="3"/>
  <c r="AG11" i="3"/>
  <c r="Y11" i="3"/>
  <c r="AE10" i="3"/>
  <c r="W10" i="3"/>
  <c r="AC9" i="3"/>
  <c r="U9" i="3"/>
  <c r="AI8" i="3"/>
  <c r="AA8" i="3"/>
  <c r="S8" i="3"/>
  <c r="AG7" i="3"/>
  <c r="Y7" i="3"/>
  <c r="AE6" i="3"/>
  <c r="W6" i="3"/>
  <c r="AB13" i="3"/>
  <c r="R12" i="3"/>
  <c r="X11" i="3"/>
  <c r="AD10" i="3"/>
  <c r="V10" i="3"/>
  <c r="AB9" i="3"/>
  <c r="AH8" i="3"/>
  <c r="Z8" i="3"/>
  <c r="W26" i="3"/>
  <c r="AI24" i="3"/>
  <c r="S24" i="3"/>
  <c r="AG23" i="3"/>
  <c r="AI20" i="3"/>
  <c r="S20" i="3"/>
  <c r="Y19" i="3"/>
  <c r="AF30" i="3"/>
  <c r="X30" i="3"/>
  <c r="AD29" i="3"/>
  <c r="V29" i="3"/>
  <c r="AB28" i="3"/>
  <c r="T28" i="3"/>
  <c r="AH27" i="3"/>
  <c r="Z27" i="3"/>
  <c r="R27" i="3"/>
  <c r="AF26" i="3"/>
  <c r="X26" i="3"/>
  <c r="AD25" i="3"/>
  <c r="V25" i="3"/>
  <c r="AB24" i="3"/>
  <c r="T24" i="3"/>
  <c r="AH23" i="3"/>
  <c r="Z23" i="3"/>
  <c r="R23" i="3"/>
  <c r="AF22" i="3"/>
  <c r="X22" i="3"/>
  <c r="AD21" i="3"/>
  <c r="V21" i="3"/>
  <c r="AB20" i="3"/>
  <c r="T20" i="3"/>
  <c r="AH19" i="3"/>
  <c r="Z19" i="3"/>
  <c r="R19" i="3"/>
  <c r="AF18" i="3"/>
  <c r="X18" i="3"/>
  <c r="AD17" i="3"/>
  <c r="V17" i="3"/>
  <c r="AB16" i="3"/>
  <c r="T16" i="3"/>
  <c r="AD14" i="3"/>
  <c r="V14" i="3"/>
  <c r="T13" i="3"/>
  <c r="AH12" i="3"/>
  <c r="Z12" i="3"/>
  <c r="AF11" i="3"/>
  <c r="T9" i="3"/>
  <c r="R8" i="3"/>
  <c r="AF7" i="3"/>
  <c r="X7" i="3"/>
  <c r="AD6" i="3"/>
  <c r="V6" i="3"/>
  <c r="AE30" i="3"/>
  <c r="AC29" i="3"/>
  <c r="U29" i="3"/>
  <c r="AI28" i="3"/>
  <c r="AA28" i="3"/>
  <c r="S28" i="3"/>
  <c r="AG27" i="3"/>
  <c r="Y27" i="3"/>
  <c r="AE26" i="3"/>
  <c r="AC25" i="3"/>
  <c r="U25" i="3"/>
  <c r="AA24" i="3"/>
  <c r="Y23" i="3"/>
  <c r="AE22" i="3"/>
  <c r="W22" i="3"/>
  <c r="AC21" i="3"/>
  <c r="U21" i="3"/>
  <c r="AA20" i="3"/>
  <c r="AG19" i="3"/>
  <c r="AE18" i="3"/>
  <c r="W18" i="3"/>
  <c r="AI6" i="3"/>
  <c r="U7" i="3"/>
  <c r="AI7" i="3"/>
  <c r="W8" i="3"/>
  <c r="AA9" i="3"/>
  <c r="AA10" i="3"/>
  <c r="AA11" i="3"/>
  <c r="AC12" i="3"/>
  <c r="S13" i="3"/>
  <c r="AF13" i="3"/>
  <c r="S14" i="3"/>
  <c r="AG14" i="3"/>
  <c r="AF17" i="3"/>
  <c r="S18" i="3"/>
  <c r="AD19" i="3"/>
  <c r="AD20" i="3"/>
  <c r="X21" i="3"/>
  <c r="AH22" i="3"/>
  <c r="V23" i="3"/>
  <c r="V24" i="3"/>
  <c r="AH25" i="3"/>
  <c r="Z26" i="3"/>
  <c r="Y6" i="3"/>
  <c r="W7" i="3"/>
  <c r="Y8" i="3"/>
  <c r="AD9" i="3"/>
  <c r="AC10" i="3"/>
  <c r="AB11" i="3"/>
  <c r="AD12" i="3"/>
  <c r="V13" i="3"/>
  <c r="AG13" i="3"/>
  <c r="U14" i="3"/>
  <c r="AH14" i="3"/>
  <c r="AD16" i="3"/>
  <c r="AG17" i="3"/>
  <c r="T18" i="3"/>
  <c r="AE20" i="3"/>
  <c r="Y21" i="3"/>
  <c r="AI22" i="3"/>
  <c r="AB23" i="3"/>
  <c r="W24" i="3"/>
  <c r="AA26" i="3"/>
  <c r="T27" i="3"/>
  <c r="Z6" i="3"/>
  <c r="Z7" i="3"/>
  <c r="AB8" i="3"/>
  <c r="AE9" i="3"/>
  <c r="R10" i="3"/>
  <c r="AF10" i="3"/>
  <c r="R11" i="3"/>
  <c r="AC11" i="3"/>
  <c r="T12" i="3"/>
  <c r="AE12" i="3"/>
  <c r="W13" i="3"/>
  <c r="AI13" i="3"/>
  <c r="X14" i="3"/>
  <c r="AI14" i="3"/>
  <c r="AE16" i="3"/>
  <c r="R17" i="3"/>
  <c r="AH17" i="3"/>
  <c r="Z18" i="3"/>
  <c r="AF20" i="3"/>
  <c r="Z21" i="3"/>
  <c r="R22" i="3"/>
  <c r="AC23" i="3"/>
  <c r="X24" i="3"/>
  <c r="R25" i="3"/>
  <c r="AB26" i="3"/>
  <c r="U27" i="3"/>
  <c r="W28" i="3"/>
  <c r="R29" i="3"/>
</calcChain>
</file>

<file path=xl/sharedStrings.xml><?xml version="1.0" encoding="utf-8"?>
<sst xmlns="http://schemas.openxmlformats.org/spreadsheetml/2006/main" count="1576" uniqueCount="124">
  <si>
    <t>Variable</t>
  </si>
  <si>
    <t>Expo</t>
  </si>
  <si>
    <t>liability_amt</t>
  </si>
  <si>
    <t>obs_n</t>
  </si>
  <si>
    <t>Rate</t>
  </si>
  <si>
    <t>RateP</t>
  </si>
  <si>
    <t>Rf</t>
  </si>
  <si>
    <t>Rr</t>
  </si>
  <si>
    <t>subsidy</t>
  </si>
  <si>
    <t>Suby</t>
  </si>
  <si>
    <t>total_prem</t>
  </si>
  <si>
    <t>Variables</t>
  </si>
  <si>
    <t>Total insured liability ($ 1,000)</t>
  </si>
  <si>
    <t>Total premium paid ($ 1,000)</t>
  </si>
  <si>
    <t>Total premium subsidy paid ($ 1,000)</t>
  </si>
  <si>
    <t xml:space="preserve">Premium per dollar of liability </t>
  </si>
  <si>
    <t xml:space="preserve">Subsidy per dollar of premium </t>
  </si>
  <si>
    <t xml:space="preserve">Producer paid premium rate  </t>
  </si>
  <si>
    <t>Number of observations</t>
  </si>
  <si>
    <t>Fu_BU</t>
  </si>
  <si>
    <t>Fu_EU</t>
  </si>
  <si>
    <t>indem_amt</t>
  </si>
  <si>
    <t>Rd50</t>
  </si>
  <si>
    <t>Rd55</t>
  </si>
  <si>
    <t>Rd60</t>
  </si>
  <si>
    <t>Rd65</t>
  </si>
  <si>
    <t>Rd70</t>
  </si>
  <si>
    <t>Rd75</t>
  </si>
  <si>
    <t>Rd80</t>
  </si>
  <si>
    <t>Rd85</t>
  </si>
  <si>
    <t>Fixed rate</t>
  </si>
  <si>
    <t xml:space="preserve">Reference rate </t>
  </si>
  <si>
    <t>Basic unit differential factor</t>
  </si>
  <si>
    <t>FCIP</t>
  </si>
  <si>
    <t>pool_n</t>
  </si>
  <si>
    <t>CGRP</t>
  </si>
  <si>
    <t>Field crops</t>
  </si>
  <si>
    <t>Fruits</t>
  </si>
  <si>
    <t>Nuts</t>
  </si>
  <si>
    <t>Forages</t>
  </si>
  <si>
    <t>Vegetables</t>
  </si>
  <si>
    <t>TOPCROP</t>
  </si>
  <si>
    <t>WHEAT</t>
  </si>
  <si>
    <t>CANOLA</t>
  </si>
  <si>
    <t>RICE</t>
  </si>
  <si>
    <t>COTTON</t>
  </si>
  <si>
    <t>CORN</t>
  </si>
  <si>
    <t>DRY BEANS</t>
  </si>
  <si>
    <t>SORGHUM</t>
  </si>
  <si>
    <t>DRY PEAS</t>
  </si>
  <si>
    <t>SUNFLOWERS</t>
  </si>
  <si>
    <t>SOYBEANS</t>
  </si>
  <si>
    <t>BARLEY</t>
  </si>
  <si>
    <t>PEANUTS</t>
  </si>
  <si>
    <t>Summary of business outcomes</t>
  </si>
  <si>
    <t>Coverage level (%)</t>
  </si>
  <si>
    <t xml:space="preserve">Net insured area (acres) </t>
  </si>
  <si>
    <t>Actuarial data master outcomes</t>
  </si>
  <si>
    <t>Rating exponent</t>
  </si>
  <si>
    <t>Coverage level differential factor @ 50%</t>
  </si>
  <si>
    <t>Coverage level differential factor @ 55%</t>
  </si>
  <si>
    <t>Coverage level differential factor @ 60%</t>
  </si>
  <si>
    <t>Coverage level differential factor @ 65%</t>
  </si>
  <si>
    <t>Coverage level differential factor @ 70%</t>
  </si>
  <si>
    <t>Coverage level differential factor @ 75%</t>
  </si>
  <si>
    <t>Coverage level differential factor @ 80%</t>
  </si>
  <si>
    <t>Coverage level differential factor @ 85%</t>
  </si>
  <si>
    <t>Enterprise unit differential factor</t>
  </si>
  <si>
    <t>Number of insurance pools</t>
  </si>
  <si>
    <t>Full sample</t>
  </si>
  <si>
    <t>coverage_level_percent</t>
  </si>
  <si>
    <t>insured_acres</t>
  </si>
  <si>
    <t>disag</t>
  </si>
  <si>
    <t>level</t>
  </si>
  <si>
    <t>Variable</t>
  </si>
  <si>
    <t>mean</t>
  </si>
  <si>
    <t>sd</t>
  </si>
  <si>
    <t>FCIP</t>
  </si>
  <si>
    <t>pool_n</t>
  </si>
  <si>
    <t>CGRP</t>
  </si>
  <si>
    <t>Field Crops</t>
  </si>
  <si>
    <t>Nuts</t>
  </si>
  <si>
    <t>Forages</t>
  </si>
  <si>
    <t>Fruits</t>
  </si>
  <si>
    <t>Vegetables</t>
  </si>
  <si>
    <t>TOPCROP</t>
  </si>
  <si>
    <t>WHEAT</t>
  </si>
  <si>
    <t>CANOLA</t>
  </si>
  <si>
    <t>OTHER</t>
  </si>
  <si>
    <t>RICE</t>
  </si>
  <si>
    <t>COTTON</t>
  </si>
  <si>
    <t>SUGAR BEETS</t>
  </si>
  <si>
    <t>CORN</t>
  </si>
  <si>
    <t>DRY BEANS</t>
  </si>
  <si>
    <t>SORGHUM</t>
  </si>
  <si>
    <t>DRY PEAS</t>
  </si>
  <si>
    <t>SUNFLOWERS</t>
  </si>
  <si>
    <t>SOYBEANS</t>
  </si>
  <si>
    <t>BARLEY</t>
  </si>
  <si>
    <t>obs_n</t>
  </si>
  <si>
    <t>coverage_level_percent</t>
  </si>
  <si>
    <t>insured_acres</t>
  </si>
  <si>
    <t>liability_amt</t>
  </si>
  <si>
    <t>total_prem</t>
  </si>
  <si>
    <t>subsidy</t>
  </si>
  <si>
    <t>indem_amt</t>
  </si>
  <si>
    <t>Rate</t>
  </si>
  <si>
    <t>Suby</t>
  </si>
  <si>
    <t>RateP</t>
  </si>
  <si>
    <t>Ycr</t>
  </si>
  <si>
    <t>Expo</t>
  </si>
  <si>
    <t>Rr</t>
  </si>
  <si>
    <t>Rf</t>
  </si>
  <si>
    <t>PF</t>
  </si>
  <si>
    <t>Rd50</t>
  </si>
  <si>
    <t>Rd55</t>
  </si>
  <si>
    <t>Rd60</t>
  </si>
  <si>
    <t>Rd65</t>
  </si>
  <si>
    <t>Rd70</t>
  </si>
  <si>
    <t>Rd75</t>
  </si>
  <si>
    <t>Rd80</t>
  </si>
  <si>
    <t>Rd85</t>
  </si>
  <si>
    <t>Fu_EU</t>
  </si>
  <si>
    <t>Fu_BU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</si>
</sst>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Times New Roman"/>
      <family val="1"/>
    </font>
    <font>
      <u/>
      <sz val="7"/>
      <color rgb="FF000000"/>
      <name val="Times New Roman"/>
      <family val="1"/>
    </font>
    <font>
      <sz val="7"/>
      <color rgb="FF000000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63"/>
  <sheetViews>
    <sheetView tabSelected="1" zoomScale="110" zoomScaleNormal="110" workbookViewId="0">
      <selection activeCell="B1" sqref="B1"/>
    </sheetView>
  </sheetViews>
  <sheetFormatPr defaultColWidth="11.42578125" defaultRowHeight="15" x14ac:dyDescent="0.25"/>
  <cols>
    <col min="1" max="1" width="8.42578125" customWidth="1"/>
    <col min="2" max="2" width="12.85546875" customWidth="1"/>
    <col min="3" max="3" width="9.42578125" customWidth="1"/>
    <col min="4" max="4" width="11" customWidth="1"/>
    <col min="5" max="5" width="10.42578125" customWidth="1"/>
    <col min="6" max="6" width="15.7109375" customWidth="1"/>
    <col min="7" max="7" width="11.5703125" customWidth="1"/>
    <col min="8" max="8" width="12.5703125" customWidth="1"/>
    <col min="9" max="9" width="27.7109375" customWidth="1"/>
    <col min="10" max="10" width="7" customWidth="1"/>
    <col min="11" max="11" width="10.28515625" customWidth="1"/>
    <col min="12" max="12" width="14.7109375" customWidth="1"/>
    <col min="16" max="16" width="9.42578125" customWidth="1"/>
    <col min="17" max="17" width="28.7109375" customWidth="1"/>
    <col min="18" max="23" width="11.140625" customWidth="1"/>
    <col min="24" max="24" width="10.28515625" customWidth="1"/>
    <col min="25" max="25" width="11.140625" customWidth="1"/>
    <col min="26" max="26" width="11.28515625" customWidth="1"/>
    <col min="27" max="27" width="12.28515625" customWidth="1"/>
    <col min="28" max="32" width="11.140625" customWidth="1"/>
    <col min="33" max="33" width="9.42578125" customWidth="1"/>
    <col min="34" max="34" width="11.140625" customWidth="1"/>
    <col min="35" max="35" width="12" customWidth="1"/>
    <col min="37" max="37" width="32.42578125" customWidth="1"/>
  </cols>
  <sheetData>
    <row r="1" spans="1:35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R1" s="10" t="s">
        <v>33</v>
      </c>
      <c r="S1" s="11" t="s">
        <v>41</v>
      </c>
      <c r="T1" s="11" t="s">
        <v>41</v>
      </c>
      <c r="U1" s="11" t="s">
        <v>41</v>
      </c>
      <c r="V1" s="11" t="s">
        <v>41</v>
      </c>
      <c r="W1" s="11" t="s">
        <v>41</v>
      </c>
      <c r="X1" s="11" t="s">
        <v>41</v>
      </c>
      <c r="Y1" s="11" t="s">
        <v>41</v>
      </c>
      <c r="Z1" s="11" t="s">
        <v>41</v>
      </c>
      <c r="AA1" s="11" t="s">
        <v>41</v>
      </c>
      <c r="AB1" s="11" t="s">
        <v>41</v>
      </c>
      <c r="AC1" s="11" t="s">
        <v>41</v>
      </c>
      <c r="AD1" s="11" t="s">
        <v>41</v>
      </c>
      <c r="AE1" s="11" t="s">
        <v>35</v>
      </c>
      <c r="AF1" s="11" t="s">
        <v>35</v>
      </c>
      <c r="AG1" s="11" t="s">
        <v>35</v>
      </c>
      <c r="AH1" s="11" t="s">
        <v>35</v>
      </c>
      <c r="AI1" s="11" t="s">
        <v>35</v>
      </c>
    </row>
    <row r="2" spans="1:35" x14ac:dyDescent="0.25">
      <c r="A2" t="s">
        <v>77</v>
      </c>
      <c r="B2" t="s">
        <v>77</v>
      </c>
      <c r="C2" t="s">
        <v>78</v>
      </c>
      <c r="D2" s="12">
        <v>647486</v>
      </c>
      <c r="E2" s="12"/>
      <c r="F2" s="12"/>
      <c r="G2" s="12"/>
      <c r="H2" s="12"/>
      <c r="I2" s="13" t="str">
        <f>_xlfn.CONCAT(A2:C2)</f>
        <v>FCIPFCIPpool_n</v>
      </c>
      <c r="J2" s="13">
        <f>D2</f>
        <v>647486</v>
      </c>
      <c r="K2" s="14" t="str">
        <f>TEXT(D2,"0")&amp;" ("&amp;TEXT(E2,"0")&amp;")"</f>
        <v>647486 (0)</v>
      </c>
      <c r="L2" s="14" t="str">
        <f>TEXT(D2,"0.00")&amp;" ("&amp;TEXT(E2,"0.00")&amp;")"</f>
        <v>647486.00 (0.00)</v>
      </c>
      <c r="R2" s="10" t="s">
        <v>33</v>
      </c>
      <c r="S2" s="11" t="s">
        <v>46</v>
      </c>
      <c r="T2" s="11" t="s">
        <v>51</v>
      </c>
      <c r="U2" s="11" t="s">
        <v>42</v>
      </c>
      <c r="V2" s="11" t="s">
        <v>45</v>
      </c>
      <c r="W2" s="11" t="s">
        <v>48</v>
      </c>
      <c r="X2" s="11" t="s">
        <v>52</v>
      </c>
      <c r="Y2" s="11" t="s">
        <v>44</v>
      </c>
      <c r="Z2" s="11" t="s">
        <v>47</v>
      </c>
      <c r="AA2" s="11" t="s">
        <v>50</v>
      </c>
      <c r="AB2" s="11" t="s">
        <v>53</v>
      </c>
      <c r="AC2" s="11" t="s">
        <v>49</v>
      </c>
      <c r="AD2" s="11" t="s">
        <v>43</v>
      </c>
      <c r="AE2" s="11" t="s">
        <v>36</v>
      </c>
      <c r="AF2" s="11" t="s">
        <v>40</v>
      </c>
      <c r="AG2" s="11" t="s">
        <v>39</v>
      </c>
      <c r="AH2" s="11" t="s">
        <v>37</v>
      </c>
      <c r="AI2" s="11" t="s">
        <v>38</v>
      </c>
    </row>
    <row r="3" spans="1:35" x14ac:dyDescent="0.25">
      <c r="A3" t="s">
        <v>79</v>
      </c>
      <c r="B3" t="s">
        <v>80</v>
      </c>
      <c r="C3" t="s">
        <v>78</v>
      </c>
      <c r="D3" s="12">
        <v>599535</v>
      </c>
      <c r="E3" s="12"/>
      <c r="F3" s="12"/>
      <c r="G3" s="12"/>
      <c r="H3" s="12"/>
      <c r="I3" s="13" t="str">
        <f t="shared" ref="I3:I31" si="0">_xlfn.CONCAT(A3:C3)</f>
        <v>CGRPField Cropspool_n</v>
      </c>
      <c r="J3" s="13">
        <f t="shared" ref="J3:J66" si="1">D3</f>
        <v>599535</v>
      </c>
      <c r="K3" s="14" t="str">
        <f t="shared" ref="K3:K66" si="2">TEXT(D3,"0")&amp;" ("&amp;TEXT(E3,"0")&amp;")"</f>
        <v>599535 (0)</v>
      </c>
      <c r="L3" s="14" t="str">
        <f t="shared" ref="L3:L66" si="3">TEXT(D3,"0.00")&amp;" ("&amp;TEXT(E3,"0.00")&amp;")"</f>
        <v>599535.00 (0.00)</v>
      </c>
    </row>
    <row r="4" spans="1:35" x14ac:dyDescent="0.25">
      <c r="A4" t="s">
        <v>79</v>
      </c>
      <c r="B4" t="s">
        <v>81</v>
      </c>
      <c r="C4" t="s">
        <v>78</v>
      </c>
      <c r="D4" s="12">
        <v>802</v>
      </c>
      <c r="E4" s="12"/>
      <c r="F4" s="12"/>
      <c r="G4" s="12"/>
      <c r="H4" s="12"/>
      <c r="I4" s="13" t="str">
        <f t="shared" si="0"/>
        <v>CGRPNutspool_n</v>
      </c>
      <c r="J4" s="13">
        <f t="shared" si="1"/>
        <v>802</v>
      </c>
      <c r="K4" s="14" t="str">
        <f t="shared" si="2"/>
        <v>802 (0)</v>
      </c>
      <c r="L4" s="14" t="str">
        <f t="shared" si="3"/>
        <v>802.00 (0.00)</v>
      </c>
      <c r="P4" s="14" t="s">
        <v>0</v>
      </c>
      <c r="Q4" s="15" t="s">
        <v>11</v>
      </c>
      <c r="R4" s="2" t="s">
        <v>69</v>
      </c>
      <c r="S4" s="2" t="str">
        <f>S2</f>
        <v>CORN</v>
      </c>
      <c r="T4" s="2" t="str">
        <f t="shared" ref="T4:AI4" si="4">T2</f>
        <v>SOYBEANS</v>
      </c>
      <c r="U4" s="2" t="str">
        <f t="shared" si="4"/>
        <v>WHEAT</v>
      </c>
      <c r="V4" s="2" t="str">
        <f t="shared" si="4"/>
        <v>COTTON</v>
      </c>
      <c r="W4" s="2" t="str">
        <f t="shared" si="4"/>
        <v>SORGHUM</v>
      </c>
      <c r="X4" s="2" t="str">
        <f t="shared" si="4"/>
        <v>BARLEY</v>
      </c>
      <c r="Y4" s="2" t="str">
        <f t="shared" si="4"/>
        <v>RICE</v>
      </c>
      <c r="Z4" s="2" t="str">
        <f t="shared" si="4"/>
        <v>DRY BEANS</v>
      </c>
      <c r="AA4" s="2" t="str">
        <f t="shared" si="4"/>
        <v>SUNFLOWERS</v>
      </c>
      <c r="AB4" s="2" t="str">
        <f t="shared" si="4"/>
        <v>PEANUTS</v>
      </c>
      <c r="AC4" s="2" t="str">
        <f t="shared" si="4"/>
        <v>DRY PEAS</v>
      </c>
      <c r="AD4" s="2" t="str">
        <f t="shared" si="4"/>
        <v>CANOLA</v>
      </c>
      <c r="AE4" s="2" t="str">
        <f t="shared" si="4"/>
        <v>Field crops</v>
      </c>
      <c r="AF4" s="2" t="str">
        <f t="shared" si="4"/>
        <v>Vegetables</v>
      </c>
      <c r="AG4" s="2" t="str">
        <f t="shared" si="4"/>
        <v>Forages</v>
      </c>
      <c r="AH4" s="2" t="str">
        <f t="shared" si="4"/>
        <v>Fruits</v>
      </c>
      <c r="AI4" s="2" t="str">
        <f t="shared" si="4"/>
        <v>Nuts</v>
      </c>
    </row>
    <row r="5" spans="1:35" x14ac:dyDescent="0.25">
      <c r="A5" t="s">
        <v>79</v>
      </c>
      <c r="B5" t="s">
        <v>82</v>
      </c>
      <c r="C5" t="s">
        <v>78</v>
      </c>
      <c r="D5" s="12">
        <v>14312</v>
      </c>
      <c r="E5" s="12"/>
      <c r="F5" s="12"/>
      <c r="G5" s="12"/>
      <c r="H5" s="12"/>
      <c r="I5" s="13" t="str">
        <f t="shared" si="0"/>
        <v>CGRPForagespool_n</v>
      </c>
      <c r="J5" s="13">
        <f t="shared" si="1"/>
        <v>14312</v>
      </c>
      <c r="K5" s="14" t="str">
        <f t="shared" si="2"/>
        <v>14312 (0)</v>
      </c>
      <c r="L5" s="14" t="str">
        <f t="shared" si="3"/>
        <v>14312.00 (0.00)</v>
      </c>
      <c r="Q5" s="3" t="s">
        <v>54</v>
      </c>
    </row>
    <row r="6" spans="1:35" x14ac:dyDescent="0.25">
      <c r="A6" t="s">
        <v>79</v>
      </c>
      <c r="B6" t="s">
        <v>83</v>
      </c>
      <c r="C6" t="s">
        <v>78</v>
      </c>
      <c r="D6" s="12">
        <v>1387</v>
      </c>
      <c r="E6" s="12"/>
      <c r="F6" s="12"/>
      <c r="G6" s="12"/>
      <c r="H6" s="12"/>
      <c r="I6" s="13" t="str">
        <f t="shared" si="0"/>
        <v>CGRPFruitspool_n</v>
      </c>
      <c r="J6" s="13">
        <f t="shared" si="1"/>
        <v>1387</v>
      </c>
      <c r="K6" s="14" t="str">
        <f t="shared" si="2"/>
        <v>1387 (0)</v>
      </c>
      <c r="L6" s="14" t="str">
        <f t="shared" si="3"/>
        <v>1387.00 (0.00)</v>
      </c>
      <c r="P6" s="1" t="s">
        <v>70</v>
      </c>
      <c r="Q6" s="4" t="s">
        <v>55</v>
      </c>
      <c r="R6" s="14" t="str">
        <f>VLOOKUP(_xlfn.CONCAT(R$1:R$2,$P6),Table1!$I:$L,4,0)</f>
        <v>0.73 (0.08)</v>
      </c>
      <c r="S6" s="14" t="str">
        <f>VLOOKUP(_xlfn.CONCAT(S$1:S$2,$P6),Table1!$I:$L,4,0)</f>
        <v>0.75 (0.07)</v>
      </c>
      <c r="T6" s="14" t="str">
        <f>VLOOKUP(_xlfn.CONCAT(T$1:T$2,$P6),Table1!$I:$L,4,0)</f>
        <v>0.74 (0.08)</v>
      </c>
      <c r="U6" s="14" t="str">
        <f>VLOOKUP(_xlfn.CONCAT(U$1:U$2,$P6),Table1!$I:$L,4,0)</f>
        <v>0.70 (0.07)</v>
      </c>
      <c r="V6" s="14" t="str">
        <f>VLOOKUP(_xlfn.CONCAT(V$1:V$2,$P6),Table1!$I:$L,4,0)</f>
        <v>0.67 (0.08)</v>
      </c>
      <c r="W6" s="14" t="str">
        <f>VLOOKUP(_xlfn.CONCAT(W$1:W$2,$P6),Table1!$I:$L,4,0)</f>
        <v>0.68 (0.07)</v>
      </c>
      <c r="X6" s="14" t="str">
        <f>VLOOKUP(_xlfn.CONCAT(X$1:X$2,$P6),Table1!$I:$L,4,0)</f>
        <v>0.71 (0.07)</v>
      </c>
      <c r="Y6" s="14" t="str">
        <f>VLOOKUP(_xlfn.CONCAT(Y$1:Y$2,$P6),Table1!$I:$L,4,0)</f>
        <v>0.68 (0.11)</v>
      </c>
      <c r="Z6" s="14" t="str">
        <f>VLOOKUP(_xlfn.CONCAT(Z$1:Z$2,$P6),Table1!$I:$L,4,0)</f>
        <v>0.69 (0.06)</v>
      </c>
      <c r="AA6" s="14" t="str">
        <f>VLOOKUP(_xlfn.CONCAT(AA$1:AA$2,$P6),Table1!$I:$L,4,0)</f>
        <v>0.69 (0.06)</v>
      </c>
      <c r="AB6" s="14" t="e">
        <f>VLOOKUP(_xlfn.CONCAT(AB$1:AB$2,$P6),Table1!$I:$L,4,0)</f>
        <v>#N/A</v>
      </c>
      <c r="AC6" s="14" t="str">
        <f>VLOOKUP(_xlfn.CONCAT(AC$1:AC$2,$P6),Table1!$I:$L,4,0)</f>
        <v>0.69 (0.07)</v>
      </c>
      <c r="AD6" s="14" t="str">
        <f>VLOOKUP(_xlfn.CONCAT(AD$1:AD$2,$P6),Table1!$I:$L,4,0)</f>
        <v>0.71 (0.05)</v>
      </c>
      <c r="AE6" s="14" t="str">
        <f>VLOOKUP(_xlfn.CONCAT(AE$1:AE$2,$P6),Table1!$I:$L,4,0)</f>
        <v>0.73 (0.08)</v>
      </c>
      <c r="AF6" s="14" t="str">
        <f>VLOOKUP(_xlfn.CONCAT(AF$1:AF$2,$P6),Table1!$I:$L,4,0)</f>
        <v>0.69 (0.07)</v>
      </c>
      <c r="AG6" s="14" t="str">
        <f>VLOOKUP(_xlfn.CONCAT(AG$1:AG$2,$P6),Table1!$I:$L,4,0)</f>
        <v>0.60 (0.09)</v>
      </c>
      <c r="AH6" s="14" t="str">
        <f>VLOOKUP(_xlfn.CONCAT(AH$1:AH$2,$P6),Table1!$I:$L,4,0)</f>
        <v>0.63 (0.09)</v>
      </c>
      <c r="AI6" s="14" t="str">
        <f>VLOOKUP(_xlfn.CONCAT(AI$1:AI$2,$P6),Table1!$I:$L,4,0)</f>
        <v>0.67 (0.08)</v>
      </c>
    </row>
    <row r="7" spans="1:35" x14ac:dyDescent="0.25">
      <c r="A7" t="s">
        <v>79</v>
      </c>
      <c r="B7" t="s">
        <v>84</v>
      </c>
      <c r="C7" t="s">
        <v>78</v>
      </c>
      <c r="D7" s="12">
        <v>31450</v>
      </c>
      <c r="E7" s="12"/>
      <c r="F7" s="12"/>
      <c r="G7" s="12"/>
      <c r="H7" s="12"/>
      <c r="I7" s="13" t="str">
        <f t="shared" si="0"/>
        <v>CGRPVegetablespool_n</v>
      </c>
      <c r="J7" s="13">
        <f t="shared" si="1"/>
        <v>31450</v>
      </c>
      <c r="K7" s="14" t="str">
        <f t="shared" si="2"/>
        <v>31450 (0)</v>
      </c>
      <c r="L7" s="14" t="str">
        <f t="shared" si="3"/>
        <v>31450.00 (0.00)</v>
      </c>
      <c r="P7" s="1" t="s">
        <v>71</v>
      </c>
      <c r="Q7" s="4" t="s">
        <v>56</v>
      </c>
      <c r="R7" s="14" t="str">
        <f>VLOOKUP(_xlfn.CONCAT(R$1:R$2,$P7),Table1!$I:$L,3,0)</f>
        <v>1281 (4308)</v>
      </c>
      <c r="S7" s="14" t="str">
        <f>VLOOKUP(_xlfn.CONCAT(S$1:S$2,$P7),Table1!$I:$L,3,0)</f>
        <v>1532 (4892)</v>
      </c>
      <c r="T7" s="14" t="str">
        <f>VLOOKUP(_xlfn.CONCAT(T$1:T$2,$P7),Table1!$I:$L,3,0)</f>
        <v>1453 (4598)</v>
      </c>
      <c r="U7" s="14" t="str">
        <f>VLOOKUP(_xlfn.CONCAT(U$1:U$2,$P7),Table1!$I:$L,3,0)</f>
        <v>1398 (4966)</v>
      </c>
      <c r="V7" s="14" t="str">
        <f>VLOOKUP(_xlfn.CONCAT(V$1:V$2,$P7),Table1!$I:$L,3,0)</f>
        <v>1130 (3388)</v>
      </c>
      <c r="W7" s="14" t="str">
        <f>VLOOKUP(_xlfn.CONCAT(W$1:W$2,$P7),Table1!$I:$L,3,0)</f>
        <v>714 (1948)</v>
      </c>
      <c r="X7" s="14" t="str">
        <f>VLOOKUP(_xlfn.CONCAT(X$1:X$2,$P7),Table1!$I:$L,3,0)</f>
        <v>671 (1726)</v>
      </c>
      <c r="Y7" s="14" t="str">
        <f>VLOOKUP(_xlfn.CONCAT(Y$1:Y$2,$P7),Table1!$I:$L,3,0)</f>
        <v>935 (1859)</v>
      </c>
      <c r="Z7" s="14" t="str">
        <f>VLOOKUP(_xlfn.CONCAT(Z$1:Z$2,$P7),Table1!$I:$L,3,0)</f>
        <v>509 (1361)</v>
      </c>
      <c r="AA7" s="14" t="str">
        <f>VLOOKUP(_xlfn.CONCAT(AA$1:AA$2,$P7),Table1!$I:$L,3,0)</f>
        <v>723 (1696)</v>
      </c>
      <c r="AB7" s="14" t="e">
        <f>VLOOKUP(_xlfn.CONCAT(AB$1:AB$2,$P7),Table1!$I:$L,3,0)</f>
        <v>#N/A</v>
      </c>
      <c r="AC7" s="14" t="str">
        <f>VLOOKUP(_xlfn.CONCAT(AC$1:AC$2,$P7),Table1!$I:$L,3,0)</f>
        <v>825 (1935)</v>
      </c>
      <c r="AD7" s="14" t="str">
        <f>VLOOKUP(_xlfn.CONCAT(AD$1:AD$2,$P7),Table1!$I:$L,3,0)</f>
        <v>1682 (5778)</v>
      </c>
      <c r="AE7" s="14" t="str">
        <f>VLOOKUP(_xlfn.CONCAT(AE$1:AE$2,$P7),Table1!$I:$L,3,0)</f>
        <v>1320 (4405)</v>
      </c>
      <c r="AF7" s="14" t="str">
        <f>VLOOKUP(_xlfn.CONCAT(AF$1:AF$2,$P7),Table1!$I:$L,3,0)</f>
        <v>616 (1584)</v>
      </c>
      <c r="AG7" s="14" t="str">
        <f>VLOOKUP(_xlfn.CONCAT(AG$1:AG$2,$P7),Table1!$I:$L,3,0)</f>
        <v>351 (1024)</v>
      </c>
      <c r="AH7" s="14" t="str">
        <f>VLOOKUP(_xlfn.CONCAT(AH$1:AH$2,$P7),Table1!$I:$L,3,0)</f>
        <v>82 (192)</v>
      </c>
      <c r="AI7" s="14" t="str">
        <f>VLOOKUP(_xlfn.CONCAT(AI$1:AI$2,$P7),Table1!$I:$L,3,0)</f>
        <v>1580 (2756)</v>
      </c>
    </row>
    <row r="8" spans="1:35" x14ac:dyDescent="0.25">
      <c r="A8" t="s">
        <v>85</v>
      </c>
      <c r="B8" t="s">
        <v>86</v>
      </c>
      <c r="C8" t="s">
        <v>78</v>
      </c>
      <c r="D8" s="12">
        <v>125861</v>
      </c>
      <c r="E8" s="12"/>
      <c r="F8" s="12"/>
      <c r="G8" s="12"/>
      <c r="H8" s="12"/>
      <c r="I8" s="13" t="str">
        <f t="shared" si="0"/>
        <v>TOPCROPWHEATpool_n</v>
      </c>
      <c r="J8" s="13">
        <f t="shared" si="1"/>
        <v>125861</v>
      </c>
      <c r="K8" s="14" t="str">
        <f t="shared" si="2"/>
        <v>125861 (0)</v>
      </c>
      <c r="L8" s="14" t="str">
        <f t="shared" si="3"/>
        <v>125861.00 (0.00)</v>
      </c>
      <c r="P8" s="14" t="s">
        <v>2</v>
      </c>
      <c r="Q8" s="4" t="s">
        <v>12</v>
      </c>
      <c r="R8" s="14" t="str">
        <f>VLOOKUP(_xlfn.CONCAT(R$1:R$2,$P8),Table1!$I:$L,3,0)</f>
        <v>482 (2134)</v>
      </c>
      <c r="S8" s="14" t="str">
        <f>VLOOKUP(_xlfn.CONCAT(S$1:S$2,$P8),Table1!$I:$L,3,0)</f>
        <v>786 (3152)</v>
      </c>
      <c r="T8" s="14" t="str">
        <f>VLOOKUP(_xlfn.CONCAT(T$1:T$2,$P8),Table1!$I:$L,3,0)</f>
        <v>497 (1834)</v>
      </c>
      <c r="U8" s="14" t="str">
        <f>VLOOKUP(_xlfn.CONCAT(U$1:U$2,$P8),Table1!$I:$L,3,0)</f>
        <v>242 (1054)</v>
      </c>
      <c r="V8" s="14" t="str">
        <f>VLOOKUP(_xlfn.CONCAT(V$1:V$2,$P8),Table1!$I:$L,3,0)</f>
        <v>420 (1417)</v>
      </c>
      <c r="W8" s="14" t="str">
        <f>VLOOKUP(_xlfn.CONCAT(W$1:W$2,$P8),Table1!$I:$L,3,0)</f>
        <v>120 (385)</v>
      </c>
      <c r="X8" s="14" t="str">
        <f>VLOOKUP(_xlfn.CONCAT(X$1:X$2,$P8),Table1!$I:$L,3,0)</f>
        <v>104 (298)</v>
      </c>
      <c r="Y8" s="14" t="str">
        <f>VLOOKUP(_xlfn.CONCAT(Y$1:Y$2,$P8),Table1!$I:$L,3,0)</f>
        <v>642 (1941)</v>
      </c>
      <c r="Z8" s="14" t="str">
        <f>VLOOKUP(_xlfn.CONCAT(Z$1:Z$2,$P8),Table1!$I:$L,3,0)</f>
        <v>185 (484)</v>
      </c>
      <c r="AA8" s="14" t="str">
        <f>VLOOKUP(_xlfn.CONCAT(AA$1:AA$2,$P8),Table1!$I:$L,3,0)</f>
        <v>137 (429)</v>
      </c>
      <c r="AB8" s="14" t="e">
        <f>VLOOKUP(_xlfn.CONCAT(AB$1:AB$2,$P8),Table1!$I:$L,3,0)</f>
        <v>#N/A</v>
      </c>
      <c r="AC8" s="14" t="str">
        <f>VLOOKUP(_xlfn.CONCAT(AC$1:AC$2,$P8),Table1!$I:$L,3,0)</f>
        <v>162 (406)</v>
      </c>
      <c r="AD8" s="14" t="str">
        <f>VLOOKUP(_xlfn.CONCAT(AD$1:AD$2,$P8),Table1!$I:$L,3,0)</f>
        <v>364 (1585)</v>
      </c>
      <c r="AE8" s="14" t="str">
        <f>VLOOKUP(_xlfn.CONCAT(AE$1:AE$2,$P8),Table1!$I:$L,3,0)</f>
        <v>487 (2116)</v>
      </c>
      <c r="AF8" s="14" t="str">
        <f>VLOOKUP(_xlfn.CONCAT(AF$1:AF$2,$P8),Table1!$I:$L,3,0)</f>
        <v>273 (1376)</v>
      </c>
      <c r="AG8" s="14" t="str">
        <f>VLOOKUP(_xlfn.CONCAT(AG$1:AG$2,$P8),Table1!$I:$L,3,0)</f>
        <v>67 (280)</v>
      </c>
      <c r="AH8" s="14" t="str">
        <f>VLOOKUP(_xlfn.CONCAT(AH$1:AH$2,$P8),Table1!$I:$L,3,0)</f>
        <v>295 (844)</v>
      </c>
      <c r="AI8" s="14" t="str">
        <f>VLOOKUP(_xlfn.CONCAT(AI$1:AI$2,$P8),Table1!$I:$L,3,0)</f>
        <v>4694 (10393)</v>
      </c>
    </row>
    <row r="9" spans="1:35" x14ac:dyDescent="0.25">
      <c r="A9" t="s">
        <v>85</v>
      </c>
      <c r="B9" t="s">
        <v>87</v>
      </c>
      <c r="C9" t="s">
        <v>78</v>
      </c>
      <c r="D9" s="12">
        <v>6699</v>
      </c>
      <c r="E9" s="12"/>
      <c r="F9" s="12"/>
      <c r="G9" s="12"/>
      <c r="H9" s="12"/>
      <c r="I9" s="13" t="str">
        <f t="shared" si="0"/>
        <v>TOPCROPCANOLApool_n</v>
      </c>
      <c r="J9" s="13">
        <f t="shared" si="1"/>
        <v>6699</v>
      </c>
      <c r="K9" s="14" t="str">
        <f t="shared" si="2"/>
        <v>6699 (0)</v>
      </c>
      <c r="L9" s="14" t="str">
        <f t="shared" si="3"/>
        <v>6699.00 (0.00)</v>
      </c>
      <c r="P9" s="14" t="s">
        <v>10</v>
      </c>
      <c r="Q9" s="4" t="s">
        <v>13</v>
      </c>
      <c r="R9" s="14" t="str">
        <f>VLOOKUP(_xlfn.CONCAT(R$1:R$2,$P9),Table1!$I:$L,4,0)</f>
        <v>49.09 (211.81)</v>
      </c>
      <c r="S9" s="14" t="str">
        <f>VLOOKUP(_xlfn.CONCAT(S$1:S$2,$P9),Table1!$I:$L,4,0)</f>
        <v>70.18 (281.87)</v>
      </c>
      <c r="T9" s="14" t="str">
        <f>VLOOKUP(_xlfn.CONCAT(T$1:T$2,$P9),Table1!$I:$L,4,0)</f>
        <v>43.73 (164.57)</v>
      </c>
      <c r="U9" s="14" t="str">
        <f>VLOOKUP(_xlfn.CONCAT(U$1:U$2,$P9),Table1!$I:$L,4,0)</f>
        <v>39.36 (173.57)</v>
      </c>
      <c r="V9" s="14" t="str">
        <f>VLOOKUP(_xlfn.CONCAT(V$1:V$2,$P9),Table1!$I:$L,4,0)</f>
        <v>77.48 (340.85)</v>
      </c>
      <c r="W9" s="14" t="str">
        <f>VLOOKUP(_xlfn.CONCAT(W$1:W$2,$P9),Table1!$I:$L,4,0)</f>
        <v>24.85 (82.21)</v>
      </c>
      <c r="X9" s="14" t="str">
        <f>VLOOKUP(_xlfn.CONCAT(X$1:X$2,$P9),Table1!$I:$L,4,0)</f>
        <v>13.67 (40.38)</v>
      </c>
      <c r="Y9" s="14" t="str">
        <f>VLOOKUP(_xlfn.CONCAT(Y$1:Y$2,$P9),Table1!$I:$L,4,0)</f>
        <v>40.44 (115.55)</v>
      </c>
      <c r="Z9" s="14" t="str">
        <f>VLOOKUP(_xlfn.CONCAT(Z$1:Z$2,$P9),Table1!$I:$L,4,0)</f>
        <v>27.03 (84.08)</v>
      </c>
      <c r="AA9" s="14" t="str">
        <f>VLOOKUP(_xlfn.CONCAT(AA$1:AA$2,$P9),Table1!$I:$L,4,0)</f>
        <v>25.34 (74.76)</v>
      </c>
      <c r="AB9" s="14" t="e">
        <f>VLOOKUP(_xlfn.CONCAT(AB$1:AB$2,$P9),Table1!$I:$L,4,0)</f>
        <v>#N/A</v>
      </c>
      <c r="AC9" s="14" t="str">
        <f>VLOOKUP(_xlfn.CONCAT(AC$1:AC$2,$P9),Table1!$I:$L,4,0)</f>
        <v>26.66 (75.01)</v>
      </c>
      <c r="AD9" s="14" t="str">
        <f>VLOOKUP(_xlfn.CONCAT(AD$1:AD$2,$P9),Table1!$I:$L,4,0)</f>
        <v>63.63 (295.93)</v>
      </c>
      <c r="AE9" s="14" t="str">
        <f>VLOOKUP(_xlfn.CONCAT(AE$1:AE$2,$P9),Table1!$I:$L,4,0)</f>
        <v>50.08 (215.30)</v>
      </c>
      <c r="AF9" s="14" t="str">
        <f>VLOOKUP(_xlfn.CONCAT(AF$1:AF$2,$P9),Table1!$I:$L,4,0)</f>
        <v>29.65 (93.21)</v>
      </c>
      <c r="AG9" s="14" t="str">
        <f>VLOOKUP(_xlfn.CONCAT(AG$1:AG$2,$P9),Table1!$I:$L,4,0)</f>
        <v>9.76 (35.58)</v>
      </c>
      <c r="AH9" s="14" t="str">
        <f>VLOOKUP(_xlfn.CONCAT(AH$1:AH$2,$P9),Table1!$I:$L,4,0)</f>
        <v>46.01 (198.91)</v>
      </c>
      <c r="AI9" s="14" t="str">
        <f>VLOOKUP(_xlfn.CONCAT(AI$1:AI$2,$P9),Table1!$I:$L,4,0)</f>
        <v>190.85 (461.54)</v>
      </c>
    </row>
    <row r="10" spans="1:35" x14ac:dyDescent="0.25">
      <c r="A10" t="s">
        <v>85</v>
      </c>
      <c r="B10" t="s">
        <v>88</v>
      </c>
      <c r="C10" t="s">
        <v>78</v>
      </c>
      <c r="D10" s="12">
        <v>59704</v>
      </c>
      <c r="E10" s="12"/>
      <c r="F10" s="12"/>
      <c r="G10" s="12"/>
      <c r="H10" s="12"/>
      <c r="I10" s="13" t="str">
        <f t="shared" si="0"/>
        <v>TOPCROPOTHERpool_n</v>
      </c>
      <c r="J10" s="13">
        <f t="shared" si="1"/>
        <v>59704</v>
      </c>
      <c r="K10" s="14" t="str">
        <f t="shared" si="2"/>
        <v>59704 (0)</v>
      </c>
      <c r="L10" s="14" t="str">
        <f t="shared" si="3"/>
        <v>59704.00 (0.00)</v>
      </c>
      <c r="P10" s="14" t="s">
        <v>8</v>
      </c>
      <c r="Q10" s="4" t="s">
        <v>14</v>
      </c>
      <c r="R10" s="14" t="str">
        <f>VLOOKUP(_xlfn.CONCAT(R$1:R$2,$P10),Table1!$I:$L,4,0)</f>
        <v>30.36 (142.65)</v>
      </c>
      <c r="S10" s="14" t="str">
        <f>VLOOKUP(_xlfn.CONCAT(S$1:S$2,$P10),Table1!$I:$L,4,0)</f>
        <v>43.07 (190.86)</v>
      </c>
      <c r="T10" s="14" t="str">
        <f>VLOOKUP(_xlfn.CONCAT(T$1:T$2,$P10),Table1!$I:$L,4,0)</f>
        <v>26.96 (109.73)</v>
      </c>
      <c r="U10" s="14" t="str">
        <f>VLOOKUP(_xlfn.CONCAT(U$1:U$2,$P10),Table1!$I:$L,4,0)</f>
        <v>24.27 (110.55)</v>
      </c>
      <c r="V10" s="14" t="str">
        <f>VLOOKUP(_xlfn.CONCAT(V$1:V$2,$P10),Table1!$I:$L,4,0)</f>
        <v>51.22 (245.51)</v>
      </c>
      <c r="W10" s="14" t="str">
        <f>VLOOKUP(_xlfn.CONCAT(W$1:W$2,$P10),Table1!$I:$L,4,0)</f>
        <v>15.73 (55.41)</v>
      </c>
      <c r="X10" s="14" t="str">
        <f>VLOOKUP(_xlfn.CONCAT(X$1:X$2,$P10),Table1!$I:$L,4,0)</f>
        <v>8.33 (26.62)</v>
      </c>
      <c r="Y10" s="14" t="str">
        <f>VLOOKUP(_xlfn.CONCAT(Y$1:Y$2,$P10),Table1!$I:$L,4,0)</f>
        <v>24.96 (70.54)</v>
      </c>
      <c r="Z10" s="14" t="str">
        <f>VLOOKUP(_xlfn.CONCAT(Z$1:Z$2,$P10),Table1!$I:$L,4,0)</f>
        <v>16.46 (53.35)</v>
      </c>
      <c r="AA10" s="14" t="str">
        <f>VLOOKUP(_xlfn.CONCAT(AA$1:AA$2,$P10),Table1!$I:$L,4,0)</f>
        <v>16.60 (52.84)</v>
      </c>
      <c r="AB10" s="14" t="e">
        <f>VLOOKUP(_xlfn.CONCAT(AB$1:AB$2,$P10),Table1!$I:$L,4,0)</f>
        <v>#N/A</v>
      </c>
      <c r="AC10" s="14" t="str">
        <f>VLOOKUP(_xlfn.CONCAT(AC$1:AC$2,$P10),Table1!$I:$L,4,0)</f>
        <v>16.37 (48.95)</v>
      </c>
      <c r="AD10" s="14" t="str">
        <f>VLOOKUP(_xlfn.CONCAT(AD$1:AD$2,$P10),Table1!$I:$L,4,0)</f>
        <v>41.24 (198.45)</v>
      </c>
      <c r="AE10" s="14" t="str">
        <f>VLOOKUP(_xlfn.CONCAT(AE$1:AE$2,$P10),Table1!$I:$L,4,0)</f>
        <v>31.00 (145.33)</v>
      </c>
      <c r="AF10" s="14" t="str">
        <f>VLOOKUP(_xlfn.CONCAT(AF$1:AF$2,$P10),Table1!$I:$L,4,0)</f>
        <v>17.94 (57.93)</v>
      </c>
      <c r="AG10" s="14" t="str">
        <f>VLOOKUP(_xlfn.CONCAT(AG$1:AG$2,$P10),Table1!$I:$L,4,0)</f>
        <v>6.02 (21.47)</v>
      </c>
      <c r="AH10" s="14" t="str">
        <f>VLOOKUP(_xlfn.CONCAT(AH$1:AH$2,$P10),Table1!$I:$L,4,0)</f>
        <v>27.63 (117.20)</v>
      </c>
      <c r="AI10" s="14" t="str">
        <f>VLOOKUP(_xlfn.CONCAT(AI$1:AI$2,$P10),Table1!$I:$L,4,0)</f>
        <v>109.74 (261.02)</v>
      </c>
    </row>
    <row r="11" spans="1:35" x14ac:dyDescent="0.25">
      <c r="A11" t="s">
        <v>85</v>
      </c>
      <c r="B11" t="s">
        <v>89</v>
      </c>
      <c r="C11" t="s">
        <v>78</v>
      </c>
      <c r="D11" s="12">
        <v>9437</v>
      </c>
      <c r="E11" s="12"/>
      <c r="F11" s="12"/>
      <c r="G11" s="12"/>
      <c r="H11" s="12"/>
      <c r="I11" s="13" t="str">
        <f t="shared" si="0"/>
        <v>TOPCROPRICEpool_n</v>
      </c>
      <c r="J11" s="13">
        <f t="shared" si="1"/>
        <v>9437</v>
      </c>
      <c r="K11" s="14" t="str">
        <f t="shared" si="2"/>
        <v>9437 (0)</v>
      </c>
      <c r="L11" s="14" t="str">
        <f t="shared" si="3"/>
        <v>9437.00 (0.00)</v>
      </c>
      <c r="P11" s="11" t="s">
        <v>21</v>
      </c>
      <c r="Q11" s="4" t="s">
        <v>14</v>
      </c>
      <c r="R11" s="14" t="str">
        <f>VLOOKUP(_xlfn.CONCAT(R$1:R$2,$P11),Table1!$I:$L,4,0)</f>
        <v>41.88 (310.63)</v>
      </c>
      <c r="S11" s="14" t="str">
        <f>VLOOKUP(_xlfn.CONCAT(S$1:S$2,$P11),Table1!$I:$L,4,0)</f>
        <v>55.67 (397.18)</v>
      </c>
      <c r="T11" s="14" t="str">
        <f>VLOOKUP(_xlfn.CONCAT(T$1:T$2,$P11),Table1!$I:$L,4,0)</f>
        <v>27.31 (151.20)</v>
      </c>
      <c r="U11" s="14" t="str">
        <f>VLOOKUP(_xlfn.CONCAT(U$1:U$2,$P11),Table1!$I:$L,4,0)</f>
        <v>36.42 (230.27)</v>
      </c>
      <c r="V11" s="14" t="str">
        <f>VLOOKUP(_xlfn.CONCAT(V$1:V$2,$P11),Table1!$I:$L,4,0)</f>
        <v>101.72 (668.19)</v>
      </c>
      <c r="W11" s="14" t="str">
        <f>VLOOKUP(_xlfn.CONCAT(W$1:W$2,$P11),Table1!$I:$L,4,0)</f>
        <v>24.82 (136.73)</v>
      </c>
      <c r="X11" s="14" t="str">
        <f>VLOOKUP(_xlfn.CONCAT(X$1:X$2,$P11),Table1!$I:$L,4,0)</f>
        <v>12.27 (54.46)</v>
      </c>
      <c r="Y11" s="14" t="str">
        <f>VLOOKUP(_xlfn.CONCAT(Y$1:Y$2,$P11),Table1!$I:$L,4,0)</f>
        <v>74.89 (584.61)</v>
      </c>
      <c r="Z11" s="14" t="str">
        <f>VLOOKUP(_xlfn.CONCAT(Z$1:Z$2,$P11),Table1!$I:$L,4,0)</f>
        <v>22.81 (97.59)</v>
      </c>
      <c r="AA11" s="14" t="str">
        <f>VLOOKUP(_xlfn.CONCAT(AA$1:AA$2,$P11),Table1!$I:$L,4,0)</f>
        <v>24.85 (102.58)</v>
      </c>
      <c r="AB11" s="14" t="e">
        <f>VLOOKUP(_xlfn.CONCAT(AB$1:AB$2,$P11),Table1!$I:$L,4,0)</f>
        <v>#N/A</v>
      </c>
      <c r="AC11" s="14" t="str">
        <f>VLOOKUP(_xlfn.CONCAT(AC$1:AC$2,$P11),Table1!$I:$L,4,0)</f>
        <v>29.53 (115.61)</v>
      </c>
      <c r="AD11" s="14" t="str">
        <f>VLOOKUP(_xlfn.CONCAT(AD$1:AD$2,$P11),Table1!$I:$L,4,0)</f>
        <v>51.30 (250.20)</v>
      </c>
      <c r="AE11" s="14" t="str">
        <f>VLOOKUP(_xlfn.CONCAT(AE$1:AE$2,$P11),Table1!$I:$L,4,0)</f>
        <v>42.57 (314.94)</v>
      </c>
      <c r="AF11" s="14" t="str">
        <f>VLOOKUP(_xlfn.CONCAT(AF$1:AF$2,$P11),Table1!$I:$L,4,0)</f>
        <v>28.22 (123.04)</v>
      </c>
      <c r="AG11" s="14" t="str">
        <f>VLOOKUP(_xlfn.CONCAT(AG$1:AG$2,$P11),Table1!$I:$L,4,0)</f>
        <v>8.45 (62.93)</v>
      </c>
      <c r="AH11" s="14" t="str">
        <f>VLOOKUP(_xlfn.CONCAT(AH$1:AH$2,$P11),Table1!$I:$L,4,0)</f>
        <v>43.33 (228.35)</v>
      </c>
      <c r="AI11" s="14" t="str">
        <f>VLOOKUP(_xlfn.CONCAT(AI$1:AI$2,$P11),Table1!$I:$L,4,0)</f>
        <v>188.13 (928.37)</v>
      </c>
    </row>
    <row r="12" spans="1:35" x14ac:dyDescent="0.25">
      <c r="A12" t="s">
        <v>85</v>
      </c>
      <c r="B12" t="s">
        <v>90</v>
      </c>
      <c r="C12" t="s">
        <v>78</v>
      </c>
      <c r="D12" s="12">
        <v>31439</v>
      </c>
      <c r="E12" s="12"/>
      <c r="F12" s="12"/>
      <c r="G12" s="12"/>
      <c r="H12" s="12"/>
      <c r="I12" s="13" t="str">
        <f t="shared" si="0"/>
        <v>TOPCROPCOTTONpool_n</v>
      </c>
      <c r="J12" s="13">
        <f t="shared" si="1"/>
        <v>31439</v>
      </c>
      <c r="K12" s="14" t="str">
        <f t="shared" si="2"/>
        <v>31439 (0)</v>
      </c>
      <c r="L12" s="14" t="str">
        <f t="shared" si="3"/>
        <v>31439.00 (0.00)</v>
      </c>
      <c r="P12" s="14" t="s">
        <v>4</v>
      </c>
      <c r="Q12" s="4" t="s">
        <v>15</v>
      </c>
      <c r="R12" s="14" t="str">
        <f>VLOOKUP(_xlfn.CONCAT(R$1:R$2,$P12),Table1!$I:$L,4,0)</f>
        <v>0.14 (0.11)</v>
      </c>
      <c r="S12" s="14" t="str">
        <f>VLOOKUP(_xlfn.CONCAT(S$1:S$2,$P12),Table1!$I:$L,4,0)</f>
        <v>0.11 (0.09)</v>
      </c>
      <c r="T12" s="14" t="str">
        <f>VLOOKUP(_xlfn.CONCAT(T$1:T$2,$P12),Table1!$I:$L,4,0)</f>
        <v>0.11 (0.09)</v>
      </c>
      <c r="U12" s="14" t="str">
        <f>VLOOKUP(_xlfn.CONCAT(U$1:U$2,$P12),Table1!$I:$L,4,0)</f>
        <v>0.16 (0.11)</v>
      </c>
      <c r="V12" s="14" t="str">
        <f>VLOOKUP(_xlfn.CONCAT(V$1:V$2,$P12),Table1!$I:$L,4,0)</f>
        <v>0.19 (0.14)</v>
      </c>
      <c r="W12" s="14" t="str">
        <f>VLOOKUP(_xlfn.CONCAT(W$1:W$2,$P12),Table1!$I:$L,4,0)</f>
        <v>0.23 (0.15)</v>
      </c>
      <c r="X12" s="14" t="str">
        <f>VLOOKUP(_xlfn.CONCAT(X$1:X$2,$P12),Table1!$I:$L,4,0)</f>
        <v>0.16 (0.10)</v>
      </c>
      <c r="Y12" s="14" t="str">
        <f>VLOOKUP(_xlfn.CONCAT(Y$1:Y$2,$P12),Table1!$I:$L,4,0)</f>
        <v>0.08 (0.06)</v>
      </c>
      <c r="Z12" s="14" t="str">
        <f>VLOOKUP(_xlfn.CONCAT(Z$1:Z$2,$P12),Table1!$I:$L,4,0)</f>
        <v>0.15 (0.09)</v>
      </c>
      <c r="AA12" s="14" t="str">
        <f>VLOOKUP(_xlfn.CONCAT(AA$1:AA$2,$P12),Table1!$I:$L,4,0)</f>
        <v>0.21 (0.11)</v>
      </c>
      <c r="AB12" s="14" t="e">
        <f>VLOOKUP(_xlfn.CONCAT(AB$1:AB$2,$P12),Table1!$I:$L,4,0)</f>
        <v>#N/A</v>
      </c>
      <c r="AC12" s="14" t="str">
        <f>VLOOKUP(_xlfn.CONCAT(AC$1:AC$2,$P12),Table1!$I:$L,4,0)</f>
        <v>0.17 (0.08)</v>
      </c>
      <c r="AD12" s="14" t="str">
        <f>VLOOKUP(_xlfn.CONCAT(AD$1:AD$2,$P12),Table1!$I:$L,4,0)</f>
        <v>0.18 (0.08)</v>
      </c>
      <c r="AE12" s="14" t="str">
        <f>VLOOKUP(_xlfn.CONCAT(AE$1:AE$2,$P12),Table1!$I:$L,4,0)</f>
        <v>0.14 (0.11)</v>
      </c>
      <c r="AF12" s="14" t="str">
        <f>VLOOKUP(_xlfn.CONCAT(AF$1:AF$2,$P12),Table1!$I:$L,4,0)</f>
        <v>0.15 (0.10)</v>
      </c>
      <c r="AG12" s="14" t="str">
        <f>VLOOKUP(_xlfn.CONCAT(AG$1:AG$2,$P12),Table1!$I:$L,4,0)</f>
        <v>0.16 (0.10)</v>
      </c>
      <c r="AH12" s="14" t="str">
        <f>VLOOKUP(_xlfn.CONCAT(AH$1:AH$2,$P12),Table1!$I:$L,4,0)</f>
        <v>0.14 (0.15)</v>
      </c>
      <c r="AI12" s="14" t="str">
        <f>VLOOKUP(_xlfn.CONCAT(AI$1:AI$2,$P12),Table1!$I:$L,4,0)</f>
        <v>0.04 (0.03)</v>
      </c>
    </row>
    <row r="13" spans="1:35" x14ac:dyDescent="0.25">
      <c r="A13" t="s">
        <v>85</v>
      </c>
      <c r="B13" t="s">
        <v>91</v>
      </c>
      <c r="C13" t="s">
        <v>78</v>
      </c>
      <c r="D13" s="12">
        <v>1906</v>
      </c>
      <c r="E13" s="12"/>
      <c r="F13" s="12"/>
      <c r="G13" s="12"/>
      <c r="H13" s="12"/>
      <c r="I13" s="13" t="str">
        <f t="shared" si="0"/>
        <v>TOPCROPSUGAR BEETSpool_n</v>
      </c>
      <c r="J13" s="13">
        <f t="shared" si="1"/>
        <v>1906</v>
      </c>
      <c r="K13" s="14" t="str">
        <f t="shared" si="2"/>
        <v>1906 (0)</v>
      </c>
      <c r="L13" s="14" t="str">
        <f t="shared" si="3"/>
        <v>1906.00 (0.00)</v>
      </c>
      <c r="P13" s="14" t="s">
        <v>9</v>
      </c>
      <c r="Q13" s="4" t="s">
        <v>16</v>
      </c>
      <c r="R13" s="14" t="str">
        <f>VLOOKUP(_xlfn.CONCAT(R$1:R$2,$P13),Table1!$I:$L,4,0)</f>
        <v>0.61 (0.10)</v>
      </c>
      <c r="S13" s="14" t="str">
        <f>VLOOKUP(_xlfn.CONCAT(S$1:S$2,$P13),Table1!$I:$L,4,0)</f>
        <v>0.61 (0.10)</v>
      </c>
      <c r="T13" s="14" t="str">
        <f>VLOOKUP(_xlfn.CONCAT(T$1:T$2,$P13),Table1!$I:$L,4,0)</f>
        <v>0.61 (0.11)</v>
      </c>
      <c r="U13" s="14" t="str">
        <f>VLOOKUP(_xlfn.CONCAT(U$1:U$2,$P13),Table1!$I:$L,4,0)</f>
        <v>0.61 (0.09)</v>
      </c>
      <c r="V13" s="14" t="str">
        <f>VLOOKUP(_xlfn.CONCAT(V$1:V$2,$P13),Table1!$I:$L,4,0)</f>
        <v>0.64 (0.09)</v>
      </c>
      <c r="W13" s="14" t="str">
        <f>VLOOKUP(_xlfn.CONCAT(W$1:W$2,$P13),Table1!$I:$L,4,0)</f>
        <v>0.62 (0.08)</v>
      </c>
      <c r="X13" s="14" t="str">
        <f>VLOOKUP(_xlfn.CONCAT(X$1:X$2,$P13),Table1!$I:$L,4,0)</f>
        <v>0.60 (0.09)</v>
      </c>
      <c r="Y13" s="14" t="str">
        <f>VLOOKUP(_xlfn.CONCAT(Y$1:Y$2,$P13),Table1!$I:$L,4,0)</f>
        <v>0.60 (0.13)</v>
      </c>
      <c r="Z13" s="14" t="str">
        <f>VLOOKUP(_xlfn.CONCAT(Z$1:Z$2,$P13),Table1!$I:$L,4,0)</f>
        <v>0.61 (0.07)</v>
      </c>
      <c r="AA13" s="14" t="str">
        <f>VLOOKUP(_xlfn.CONCAT(AA$1:AA$2,$P13),Table1!$I:$L,4,0)</f>
        <v>0.62 (0.07)</v>
      </c>
      <c r="AB13" s="14" t="e">
        <f>VLOOKUP(_xlfn.CONCAT(AB$1:AB$2,$P13),Table1!$I:$L,4,0)</f>
        <v>#N/A</v>
      </c>
      <c r="AC13" s="14" t="str">
        <f>VLOOKUP(_xlfn.CONCAT(AC$1:AC$2,$P13),Table1!$I:$L,4,0)</f>
        <v>0.60 (0.09)</v>
      </c>
      <c r="AD13" s="14" t="str">
        <f>VLOOKUP(_xlfn.CONCAT(AD$1:AD$2,$P13),Table1!$I:$L,4,0)</f>
        <v>0.61 (0.10)</v>
      </c>
      <c r="AE13" s="14" t="str">
        <f>VLOOKUP(_xlfn.CONCAT(AE$1:AE$2,$P13),Table1!$I:$L,4,0)</f>
        <v>0.61 (0.10)</v>
      </c>
      <c r="AF13" s="14" t="str">
        <f>VLOOKUP(_xlfn.CONCAT(AF$1:AF$2,$P13),Table1!$I:$L,4,0)</f>
        <v>0.60 (0.08)</v>
      </c>
      <c r="AG13" s="14" t="str">
        <f>VLOOKUP(_xlfn.CONCAT(AG$1:AG$2,$P13),Table1!$I:$L,4,0)</f>
        <v>0.62 (0.05)</v>
      </c>
      <c r="AH13" s="14" t="str">
        <f>VLOOKUP(_xlfn.CONCAT(AH$1:AH$2,$P13),Table1!$I:$L,4,0)</f>
        <v>0.61 (0.05)</v>
      </c>
      <c r="AI13" s="14" t="str">
        <f>VLOOKUP(_xlfn.CONCAT(AI$1:AI$2,$P13),Table1!$I:$L,4,0)</f>
        <v>0.60 (0.06)</v>
      </c>
    </row>
    <row r="14" spans="1:35" x14ac:dyDescent="0.25">
      <c r="A14" t="s">
        <v>85</v>
      </c>
      <c r="B14" t="s">
        <v>92</v>
      </c>
      <c r="C14" t="s">
        <v>78</v>
      </c>
      <c r="D14" s="12">
        <v>133526</v>
      </c>
      <c r="E14" s="12"/>
      <c r="F14" s="12"/>
      <c r="G14" s="12"/>
      <c r="H14" s="12"/>
      <c r="I14" s="13" t="str">
        <f t="shared" si="0"/>
        <v>TOPCROPCORNpool_n</v>
      </c>
      <c r="J14" s="13">
        <f t="shared" si="1"/>
        <v>133526</v>
      </c>
      <c r="K14" s="14" t="str">
        <f t="shared" si="2"/>
        <v>133526 (0)</v>
      </c>
      <c r="L14" s="14" t="str">
        <f t="shared" si="3"/>
        <v>133526.00 (0.00)</v>
      </c>
      <c r="P14" s="14" t="s">
        <v>5</v>
      </c>
      <c r="Q14" s="4" t="s">
        <v>17</v>
      </c>
      <c r="R14" s="14" t="str">
        <f>VLOOKUP(_xlfn.CONCAT(R$1:R$2,$P14),Table1!$I:$L,4,0)</f>
        <v>0.05 (0.05)</v>
      </c>
      <c r="S14" s="14" t="str">
        <f>VLOOKUP(_xlfn.CONCAT(S$1:S$2,$P14),Table1!$I:$L,4,0)</f>
        <v>0.05 (0.04)</v>
      </c>
      <c r="T14" s="14" t="str">
        <f>VLOOKUP(_xlfn.CONCAT(T$1:T$2,$P14),Table1!$I:$L,4,0)</f>
        <v>0.05 (0.04)</v>
      </c>
      <c r="U14" s="14" t="str">
        <f>VLOOKUP(_xlfn.CONCAT(U$1:U$2,$P14),Table1!$I:$L,4,0)</f>
        <v>0.06 (0.05)</v>
      </c>
      <c r="V14" s="14" t="str">
        <f>VLOOKUP(_xlfn.CONCAT(V$1:V$2,$P14),Table1!$I:$L,4,0)</f>
        <v>0.07 (0.06)</v>
      </c>
      <c r="W14" s="14" t="str">
        <f>VLOOKUP(_xlfn.CONCAT(W$1:W$2,$P14),Table1!$I:$L,4,0)</f>
        <v>0.09 (0.06)</v>
      </c>
      <c r="X14" s="14" t="str">
        <f>VLOOKUP(_xlfn.CONCAT(X$1:X$2,$P14),Table1!$I:$L,4,0)</f>
        <v>0.06 (0.05)</v>
      </c>
      <c r="Y14" s="14" t="str">
        <f>VLOOKUP(_xlfn.CONCAT(Y$1:Y$2,$P14),Table1!$I:$L,4,0)</f>
        <v>0.03 (0.03)</v>
      </c>
      <c r="Z14" s="14" t="str">
        <f>VLOOKUP(_xlfn.CONCAT(Z$1:Z$2,$P14),Table1!$I:$L,4,0)</f>
        <v>0.06 (0.04)</v>
      </c>
      <c r="AA14" s="14" t="str">
        <f>VLOOKUP(_xlfn.CONCAT(AA$1:AA$2,$P14),Table1!$I:$L,4,0)</f>
        <v>0.08 (0.05)</v>
      </c>
      <c r="AB14" s="14" t="e">
        <f>VLOOKUP(_xlfn.CONCAT(AB$1:AB$2,$P14),Table1!$I:$L,4,0)</f>
        <v>#N/A</v>
      </c>
      <c r="AC14" s="14" t="str">
        <f>VLOOKUP(_xlfn.CONCAT(AC$1:AC$2,$P14),Table1!$I:$L,4,0)</f>
        <v>0.07 (0.04)</v>
      </c>
      <c r="AD14" s="14" t="str">
        <f>VLOOKUP(_xlfn.CONCAT(AD$1:AD$2,$P14),Table1!$I:$L,4,0)</f>
        <v>0.07 (0.04)</v>
      </c>
      <c r="AE14" s="14" t="str">
        <f>VLOOKUP(_xlfn.CONCAT(AE$1:AE$2,$P14),Table1!$I:$L,4,0)</f>
        <v>0.05 (0.05)</v>
      </c>
      <c r="AF14" s="14" t="str">
        <f>VLOOKUP(_xlfn.CONCAT(AF$1:AF$2,$P14),Table1!$I:$L,4,0)</f>
        <v>0.06 (0.04)</v>
      </c>
      <c r="AG14" s="14" t="str">
        <f>VLOOKUP(_xlfn.CONCAT(AG$1:AG$2,$P14),Table1!$I:$L,4,0)</f>
        <v>0.06 (0.04)</v>
      </c>
      <c r="AH14" s="14" t="str">
        <f>VLOOKUP(_xlfn.CONCAT(AH$1:AH$2,$P14),Table1!$I:$L,4,0)</f>
        <v>0.05 (0.06)</v>
      </c>
      <c r="AI14" s="14" t="str">
        <f>VLOOKUP(_xlfn.CONCAT(AI$1:AI$2,$P14),Table1!$I:$L,4,0)</f>
        <v>0.02 (0.01)</v>
      </c>
    </row>
    <row r="15" spans="1:35" x14ac:dyDescent="0.25">
      <c r="A15" t="s">
        <v>85</v>
      </c>
      <c r="B15" t="s">
        <v>93</v>
      </c>
      <c r="C15" t="s">
        <v>78</v>
      </c>
      <c r="D15" s="12">
        <v>16311</v>
      </c>
      <c r="E15" s="12"/>
      <c r="F15" s="12"/>
      <c r="G15" s="12"/>
      <c r="H15" s="12"/>
      <c r="I15" s="13" t="str">
        <f t="shared" si="0"/>
        <v>TOPCROPDRY BEANSpool_n</v>
      </c>
      <c r="J15" s="13">
        <f t="shared" si="1"/>
        <v>16311</v>
      </c>
      <c r="K15" s="14" t="str">
        <f t="shared" si="2"/>
        <v>16311 (0)</v>
      </c>
      <c r="L15" s="14" t="str">
        <f t="shared" si="3"/>
        <v>16311.00 (0.00)</v>
      </c>
      <c r="Q15" s="3" t="s">
        <v>57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spans="1:35" x14ac:dyDescent="0.25">
      <c r="A16" t="s">
        <v>85</v>
      </c>
      <c r="B16" t="s">
        <v>94</v>
      </c>
      <c r="C16" t="s">
        <v>78</v>
      </c>
      <c r="D16" s="12">
        <v>32582</v>
      </c>
      <c r="E16" s="12"/>
      <c r="F16" s="12"/>
      <c r="G16" s="12"/>
      <c r="H16" s="12"/>
      <c r="I16" s="13" t="str">
        <f t="shared" si="0"/>
        <v>TOPCROPSORGHUMpool_n</v>
      </c>
      <c r="J16" s="13">
        <f t="shared" si="1"/>
        <v>32582</v>
      </c>
      <c r="K16" s="14" t="str">
        <f t="shared" si="2"/>
        <v>32582 (0)</v>
      </c>
      <c r="L16" s="14" t="str">
        <f t="shared" si="3"/>
        <v>32582.00 (0.00)</v>
      </c>
      <c r="P16" s="14" t="s">
        <v>7</v>
      </c>
      <c r="Q16" s="4" t="s">
        <v>31</v>
      </c>
      <c r="R16" s="14" t="str">
        <f>VLOOKUP(_xlfn.CONCAT(R$1:R$2,$P16),Table1!$I:$L,4,0)</f>
        <v>0.03 (0.02)</v>
      </c>
      <c r="S16" s="14" t="str">
        <f>VLOOKUP(_xlfn.CONCAT(S$1:S$2,$P16),Table1!$I:$L,4,0)</f>
        <v>0.03 (0.02)</v>
      </c>
      <c r="T16" s="14" t="str">
        <f>VLOOKUP(_xlfn.CONCAT(T$1:T$2,$P16),Table1!$I:$L,4,0)</f>
        <v>0.02 (0.01)</v>
      </c>
      <c r="U16" s="14" t="str">
        <f>VLOOKUP(_xlfn.CONCAT(U$1:U$2,$P16),Table1!$I:$L,4,0)</f>
        <v>0.03 (0.02)</v>
      </c>
      <c r="V16" s="14" t="str">
        <f>VLOOKUP(_xlfn.CONCAT(V$1:V$2,$P16),Table1!$I:$L,4,0)</f>
        <v>0.03 (0.01)</v>
      </c>
      <c r="W16" s="14" t="str">
        <f>VLOOKUP(_xlfn.CONCAT(W$1:W$2,$P16),Table1!$I:$L,4,0)</f>
        <v>0.04 (0.02)</v>
      </c>
      <c r="X16" s="14" t="str">
        <f>VLOOKUP(_xlfn.CONCAT(X$1:X$2,$P16),Table1!$I:$L,4,0)</f>
        <v>0.03 (0.02)</v>
      </c>
      <c r="Y16" s="14" t="str">
        <f>VLOOKUP(_xlfn.CONCAT(Y$1:Y$2,$P16),Table1!$I:$L,4,0)</f>
        <v>0.02 (0.01)</v>
      </c>
      <c r="Z16" s="14" t="str">
        <f>VLOOKUP(_xlfn.CONCAT(Z$1:Z$2,$P16),Table1!$I:$L,4,0)</f>
        <v>0.04 (0.01)</v>
      </c>
      <c r="AA16" s="14" t="str">
        <f>VLOOKUP(_xlfn.CONCAT(AA$1:AA$2,$P16),Table1!$I:$L,4,0)</f>
        <v>0.04 (0.01)</v>
      </c>
      <c r="AB16" s="14" t="e">
        <f>VLOOKUP(_xlfn.CONCAT(AB$1:AB$2,$P16),Table1!$I:$L,4,0)</f>
        <v>#N/A</v>
      </c>
      <c r="AC16" s="14" t="str">
        <f>VLOOKUP(_xlfn.CONCAT(AC$1:AC$2,$P16),Table1!$I:$L,4,0)</f>
        <v>0.03 (0.01)</v>
      </c>
      <c r="AD16" s="14" t="str">
        <f>VLOOKUP(_xlfn.CONCAT(AD$1:AD$2,$P16),Table1!$I:$L,4,0)</f>
        <v>0.04 (0.02)</v>
      </c>
      <c r="AE16" s="14" t="str">
        <f>VLOOKUP(_xlfn.CONCAT(AE$1:AE$2,$P16),Table1!$I:$L,4,0)</f>
        <v>0.03 (0.02)</v>
      </c>
      <c r="AF16" s="14" t="str">
        <f>VLOOKUP(_xlfn.CONCAT(AF$1:AF$2,$P16),Table1!$I:$L,4,0)</f>
        <v>0.03 (0.02)</v>
      </c>
      <c r="AG16" s="14" t="str">
        <f>VLOOKUP(_xlfn.CONCAT(AG$1:AG$2,$P16),Table1!$I:$L,4,0)</f>
        <v>0.02 (0.01)</v>
      </c>
      <c r="AH16" s="14" t="str">
        <f>VLOOKUP(_xlfn.CONCAT(AH$1:AH$2,$P16),Table1!$I:$L,4,0)</f>
        <v>0.02 (0.02)</v>
      </c>
      <c r="AI16" s="14" t="str">
        <f>VLOOKUP(_xlfn.CONCAT(AI$1:AI$2,$P16),Table1!$I:$L,4,0)</f>
        <v>0.01 (0.01)</v>
      </c>
    </row>
    <row r="17" spans="1:35" x14ac:dyDescent="0.25">
      <c r="A17" t="s">
        <v>85</v>
      </c>
      <c r="B17" t="s">
        <v>95</v>
      </c>
      <c r="C17" t="s">
        <v>78</v>
      </c>
      <c r="D17" s="12">
        <v>10677</v>
      </c>
      <c r="E17" s="12"/>
      <c r="F17" s="12"/>
      <c r="G17" s="12"/>
      <c r="H17" s="12"/>
      <c r="I17" s="13" t="str">
        <f t="shared" si="0"/>
        <v>TOPCROPDRY PEASpool_n</v>
      </c>
      <c r="J17" s="13">
        <f t="shared" si="1"/>
        <v>10677</v>
      </c>
      <c r="K17" s="14" t="str">
        <f t="shared" si="2"/>
        <v>10677 (0)</v>
      </c>
      <c r="L17" s="14" t="str">
        <f t="shared" si="3"/>
        <v>10677.00 (0.00)</v>
      </c>
      <c r="P17" s="14" t="s">
        <v>6</v>
      </c>
      <c r="Q17" s="4" t="s">
        <v>30</v>
      </c>
      <c r="R17" s="14" t="str">
        <f>VLOOKUP(_xlfn.CONCAT(R$1:R$2,$P17),Table1!$I:$L,4,0)</f>
        <v>0.11 (0.09)</v>
      </c>
      <c r="S17" s="14" t="str">
        <f>VLOOKUP(_xlfn.CONCAT(S$1:S$2,$P17),Table1!$I:$L,4,0)</f>
        <v>0.08 (0.07)</v>
      </c>
      <c r="T17" s="14" t="str">
        <f>VLOOKUP(_xlfn.CONCAT(T$1:T$2,$P17),Table1!$I:$L,4,0)</f>
        <v>0.09 (0.08)</v>
      </c>
      <c r="U17" s="14" t="str">
        <f>VLOOKUP(_xlfn.CONCAT(U$1:U$2,$P17),Table1!$I:$L,4,0)</f>
        <v>0.11 (0.08)</v>
      </c>
      <c r="V17" s="14" t="str">
        <f>VLOOKUP(_xlfn.CONCAT(V$1:V$2,$P17),Table1!$I:$L,4,0)</f>
        <v>0.16 (0.12)</v>
      </c>
      <c r="W17" s="14" t="str">
        <f>VLOOKUP(_xlfn.CONCAT(W$1:W$2,$P17),Table1!$I:$L,4,0)</f>
        <v>0.17 (0.12)</v>
      </c>
      <c r="X17" s="14" t="str">
        <f>VLOOKUP(_xlfn.CONCAT(X$1:X$2,$P17),Table1!$I:$L,4,0)</f>
        <v>0.12 (0.08)</v>
      </c>
      <c r="Y17" s="14" t="str">
        <f>VLOOKUP(_xlfn.CONCAT(Y$1:Y$2,$P17),Table1!$I:$L,4,0)</f>
        <v>0.03 (0.02)</v>
      </c>
      <c r="Z17" s="14" t="str">
        <f>VLOOKUP(_xlfn.CONCAT(Z$1:Z$2,$P17),Table1!$I:$L,4,0)</f>
        <v>0.13 (0.07)</v>
      </c>
      <c r="AA17" s="14" t="str">
        <f>VLOOKUP(_xlfn.CONCAT(AA$1:AA$2,$P17),Table1!$I:$L,4,0)</f>
        <v>0.15 (0.08)</v>
      </c>
      <c r="AB17" s="14" t="e">
        <f>VLOOKUP(_xlfn.CONCAT(AB$1:AB$2,$P17),Table1!$I:$L,4,0)</f>
        <v>#N/A</v>
      </c>
      <c r="AC17" s="14" t="str">
        <f>VLOOKUP(_xlfn.CONCAT(AC$1:AC$2,$P17),Table1!$I:$L,4,0)</f>
        <v>0.13 (0.07)</v>
      </c>
      <c r="AD17" s="14" t="str">
        <f>VLOOKUP(_xlfn.CONCAT(AD$1:AD$2,$P17),Table1!$I:$L,4,0)</f>
        <v>0.12 (0.06)</v>
      </c>
      <c r="AE17" s="14" t="str">
        <f>VLOOKUP(_xlfn.CONCAT(AE$1:AE$2,$P17),Table1!$I:$L,4,0)</f>
        <v>0.10 (0.09)</v>
      </c>
      <c r="AF17" s="14" t="str">
        <f>VLOOKUP(_xlfn.CONCAT(AF$1:AF$2,$P17),Table1!$I:$L,4,0)</f>
        <v>0.12 (0.08)</v>
      </c>
      <c r="AG17" s="14" t="str">
        <f>VLOOKUP(_xlfn.CONCAT(AG$1:AG$2,$P17),Table1!$I:$L,4,0)</f>
        <v>0.13 (0.08)</v>
      </c>
      <c r="AH17" s="14" t="str">
        <f>VLOOKUP(_xlfn.CONCAT(AH$1:AH$2,$P17),Table1!$I:$L,4,0)</f>
        <v>0.14 (0.13)</v>
      </c>
      <c r="AI17" s="14" t="str">
        <f>VLOOKUP(_xlfn.CONCAT(AI$1:AI$2,$P17),Table1!$I:$L,4,0)</f>
        <v>0.04 (0.02)</v>
      </c>
    </row>
    <row r="18" spans="1:35" x14ac:dyDescent="0.25">
      <c r="A18" t="s">
        <v>85</v>
      </c>
      <c r="B18" t="s">
        <v>96</v>
      </c>
      <c r="C18" t="s">
        <v>78</v>
      </c>
      <c r="D18" s="12">
        <v>15723</v>
      </c>
      <c r="E18" s="12"/>
      <c r="F18" s="12"/>
      <c r="G18" s="12"/>
      <c r="H18" s="12"/>
      <c r="I18" s="13" t="str">
        <f t="shared" si="0"/>
        <v>TOPCROPSUNFLOWERSpool_n</v>
      </c>
      <c r="J18" s="13">
        <f t="shared" si="1"/>
        <v>15723</v>
      </c>
      <c r="K18" s="14" t="str">
        <f t="shared" si="2"/>
        <v>15723 (0)</v>
      </c>
      <c r="L18" s="14" t="str">
        <f t="shared" si="3"/>
        <v>15723.00 (0.00)</v>
      </c>
      <c r="P18" s="14" t="s">
        <v>1</v>
      </c>
      <c r="Q18" s="4" t="s">
        <v>58</v>
      </c>
      <c r="R18" s="14" t="str">
        <f>VLOOKUP(_xlfn.CONCAT(R$1:R$2,$P18),Table1!$I:$L,4,0)</f>
        <v>-1.39 (0.57)</v>
      </c>
      <c r="S18" s="14" t="str">
        <f>VLOOKUP(_xlfn.CONCAT(S$1:S$2,$P18),Table1!$I:$L,4,0)</f>
        <v>-1.40 (0.57)</v>
      </c>
      <c r="T18" s="14" t="str">
        <f>VLOOKUP(_xlfn.CONCAT(T$1:T$2,$P18),Table1!$I:$L,4,0)</f>
        <v>-1.58 (0.44)</v>
      </c>
      <c r="U18" s="14" t="str">
        <f>VLOOKUP(_xlfn.CONCAT(U$1:U$2,$P18),Table1!$I:$L,4,0)</f>
        <v>-1.50 (0.49)</v>
      </c>
      <c r="V18" s="14" t="str">
        <f>VLOOKUP(_xlfn.CONCAT(V$1:V$2,$P18),Table1!$I:$L,4,0)</f>
        <v>-1.04 (0.37)</v>
      </c>
      <c r="W18" s="14" t="str">
        <f>VLOOKUP(_xlfn.CONCAT(W$1:W$2,$P18),Table1!$I:$L,4,0)</f>
        <v>-1.40 (0.58)</v>
      </c>
      <c r="X18" s="14" t="str">
        <f>VLOOKUP(_xlfn.CONCAT(X$1:X$2,$P18),Table1!$I:$L,4,0)</f>
        <v>-1.40 (0.50)</v>
      </c>
      <c r="Y18" s="14" t="str">
        <f>VLOOKUP(_xlfn.CONCAT(Y$1:Y$2,$P18),Table1!$I:$L,4,0)</f>
        <v>-1.25 (0.63)</v>
      </c>
      <c r="Z18" s="14" t="str">
        <f>VLOOKUP(_xlfn.CONCAT(Z$1:Z$2,$P18),Table1!$I:$L,4,0)</f>
        <v>-1.33 (0.67)</v>
      </c>
      <c r="AA18" s="14" t="str">
        <f>VLOOKUP(_xlfn.CONCAT(AA$1:AA$2,$P18),Table1!$I:$L,4,0)</f>
        <v>-1.54 (0.57)</v>
      </c>
      <c r="AB18" s="14" t="e">
        <f>VLOOKUP(_xlfn.CONCAT(AB$1:AB$2,$P18),Table1!$I:$L,4,0)</f>
        <v>#N/A</v>
      </c>
      <c r="AC18" s="14" t="str">
        <f>VLOOKUP(_xlfn.CONCAT(AC$1:AC$2,$P18),Table1!$I:$L,4,0)</f>
        <v>-0.66 (0.64)</v>
      </c>
      <c r="AD18" s="14" t="str">
        <f>VLOOKUP(_xlfn.CONCAT(AD$1:AD$2,$P18),Table1!$I:$L,4,0)</f>
        <v>-1.39 (0.61)</v>
      </c>
      <c r="AE18" s="14" t="str">
        <f>VLOOKUP(_xlfn.CONCAT(AE$1:AE$2,$P18),Table1!$I:$L,4,0)</f>
        <v>-1.43 (0.53)</v>
      </c>
      <c r="AF18" s="14" t="str">
        <f>VLOOKUP(_xlfn.CONCAT(AF$1:AF$2,$P18),Table1!$I:$L,4,0)</f>
        <v>-1.09 (0.71)</v>
      </c>
      <c r="AG18" s="14" t="str">
        <f>VLOOKUP(_xlfn.CONCAT(AG$1:AG$2,$P18),Table1!$I:$L,4,0)</f>
        <v>-0.77 (0.83)</v>
      </c>
      <c r="AH18" s="14" t="str">
        <f>VLOOKUP(_xlfn.CONCAT(AH$1:AH$2,$P18),Table1!$I:$L,4,0)</f>
        <v>-0.16 (0.35)</v>
      </c>
      <c r="AI18" s="14" t="str">
        <f>VLOOKUP(_xlfn.CONCAT(AI$1:AI$2,$P18),Table1!$I:$L,4,0)</f>
        <v>-1.03 (0.65)</v>
      </c>
    </row>
    <row r="19" spans="1:35" x14ac:dyDescent="0.25">
      <c r="A19" t="s">
        <v>85</v>
      </c>
      <c r="B19" t="s">
        <v>97</v>
      </c>
      <c r="C19" t="s">
        <v>78</v>
      </c>
      <c r="D19" s="12">
        <v>180433</v>
      </c>
      <c r="E19" s="12"/>
      <c r="F19" s="12"/>
      <c r="G19" s="12"/>
      <c r="H19" s="12"/>
      <c r="I19" s="13" t="str">
        <f t="shared" si="0"/>
        <v>TOPCROPSOYBEANSpool_n</v>
      </c>
      <c r="J19" s="13">
        <f t="shared" si="1"/>
        <v>180433</v>
      </c>
      <c r="K19" s="14" t="str">
        <f t="shared" si="2"/>
        <v>180433 (0)</v>
      </c>
      <c r="L19" s="14" t="str">
        <f t="shared" si="3"/>
        <v>180433.00 (0.00)</v>
      </c>
      <c r="P19" s="14" t="s">
        <v>22</v>
      </c>
      <c r="Q19" s="4" t="s">
        <v>59</v>
      </c>
      <c r="R19" s="14" t="str">
        <f>VLOOKUP(_xlfn.CONCAT(R$1:R$2,$P19),Table1!$I:$L,4,0)</f>
        <v>0.66 (0.11)</v>
      </c>
      <c r="S19" s="14" t="str">
        <f>VLOOKUP(_xlfn.CONCAT(S$1:S$2,$P19),Table1!$I:$L,4,0)</f>
        <v>0.66 (0.11)</v>
      </c>
      <c r="T19" s="14" t="str">
        <f>VLOOKUP(_xlfn.CONCAT(T$1:T$2,$P19),Table1!$I:$L,4,0)</f>
        <v>0.63 (0.11)</v>
      </c>
      <c r="U19" s="14" t="str">
        <f>VLOOKUP(_xlfn.CONCAT(U$1:U$2,$P19),Table1!$I:$L,4,0)</f>
        <v>0.67 (0.11)</v>
      </c>
      <c r="V19" s="14" t="str">
        <f>VLOOKUP(_xlfn.CONCAT(V$1:V$2,$P19),Table1!$I:$L,4,0)</f>
        <v>0.71 (0.12)</v>
      </c>
      <c r="W19" s="14" t="str">
        <f>VLOOKUP(_xlfn.CONCAT(W$1:W$2,$P19),Table1!$I:$L,4,0)</f>
        <v>0.68 (0.12)</v>
      </c>
      <c r="X19" s="14" t="str">
        <f>VLOOKUP(_xlfn.CONCAT(X$1:X$2,$P19),Table1!$I:$L,4,0)</f>
        <v>0.70 (0.11)</v>
      </c>
      <c r="Y19" s="14" t="str">
        <f>VLOOKUP(_xlfn.CONCAT(Y$1:Y$2,$P19),Table1!$I:$L,4,0)</f>
        <v>0.74 (0.10)</v>
      </c>
      <c r="Z19" s="14" t="str">
        <f>VLOOKUP(_xlfn.CONCAT(Z$1:Z$2,$P19),Table1!$I:$L,4,0)</f>
        <v>0.69 (0.12)</v>
      </c>
      <c r="AA19" s="14" t="str">
        <f>VLOOKUP(_xlfn.CONCAT(AA$1:AA$2,$P19),Table1!$I:$L,4,0)</f>
        <v>0.70 (0.11)</v>
      </c>
      <c r="AB19" s="14" t="e">
        <f>VLOOKUP(_xlfn.CONCAT(AB$1:AB$2,$P19),Table1!$I:$L,4,0)</f>
        <v>#N/A</v>
      </c>
      <c r="AC19" s="14" t="str">
        <f>VLOOKUP(_xlfn.CONCAT(AC$1:AC$2,$P19),Table1!$I:$L,4,0)</f>
        <v>0.71 (0.11)</v>
      </c>
      <c r="AD19" s="14" t="str">
        <f>VLOOKUP(_xlfn.CONCAT(AD$1:AD$2,$P19),Table1!$I:$L,4,0)</f>
        <v>0.71 (0.10)</v>
      </c>
      <c r="AE19" s="14" t="str">
        <f>VLOOKUP(_xlfn.CONCAT(AE$1:AE$2,$P19),Table1!$I:$L,4,0)</f>
        <v>0.67 (0.11)</v>
      </c>
      <c r="AF19" s="14" t="str">
        <f>VLOOKUP(_xlfn.CONCAT(AF$1:AF$2,$P19),Table1!$I:$L,4,0)</f>
        <v>0.68 (0.12)</v>
      </c>
      <c r="AG19" s="14" t="str">
        <f>VLOOKUP(_xlfn.CONCAT(AG$1:AG$2,$P19),Table1!$I:$L,4,0)</f>
        <v>0.64 (0.13)</v>
      </c>
      <c r="AH19" s="14" t="str">
        <f>VLOOKUP(_xlfn.CONCAT(AH$1:AH$2,$P19),Table1!$I:$L,4,0)</f>
        <v>0.60 (0.21)</v>
      </c>
      <c r="AI19" s="14" t="str">
        <f>VLOOKUP(_xlfn.CONCAT(AI$1:AI$2,$P19),Table1!$I:$L,4,0)</f>
        <v>0.50 (0.11)</v>
      </c>
    </row>
    <row r="20" spans="1:35" x14ac:dyDescent="0.25">
      <c r="A20" t="s">
        <v>85</v>
      </c>
      <c r="B20" t="s">
        <v>98</v>
      </c>
      <c r="C20" t="s">
        <v>78</v>
      </c>
      <c r="D20" s="12">
        <v>23188</v>
      </c>
      <c r="E20" s="12"/>
      <c r="F20" s="12"/>
      <c r="G20" s="12"/>
      <c r="H20" s="12"/>
      <c r="I20" s="13" t="str">
        <f t="shared" si="0"/>
        <v>TOPCROPBARLEYpool_n</v>
      </c>
      <c r="J20" s="13">
        <f t="shared" si="1"/>
        <v>23188</v>
      </c>
      <c r="K20" s="14" t="str">
        <f t="shared" si="2"/>
        <v>23188 (0)</v>
      </c>
      <c r="L20" s="14" t="str">
        <f t="shared" si="3"/>
        <v>23188.00 (0.00)</v>
      </c>
      <c r="P20" s="14" t="s">
        <v>23</v>
      </c>
      <c r="Q20" s="4" t="s">
        <v>60</v>
      </c>
      <c r="R20" s="14" t="str">
        <f>VLOOKUP(_xlfn.CONCAT(R$1:R$2,$P20),Table1!$I:$L,4,0)</f>
        <v>0.77 (0.12)</v>
      </c>
      <c r="S20" s="14" t="str">
        <f>VLOOKUP(_xlfn.CONCAT(S$1:S$2,$P20),Table1!$I:$L,4,0)</f>
        <v>0.76 (0.11)</v>
      </c>
      <c r="T20" s="14" t="str">
        <f>VLOOKUP(_xlfn.CONCAT(T$1:T$2,$P20),Table1!$I:$L,4,0)</f>
        <v>0.73 (0.11)</v>
      </c>
      <c r="U20" s="14" t="str">
        <f>VLOOKUP(_xlfn.CONCAT(U$1:U$2,$P20),Table1!$I:$L,4,0)</f>
        <v>0.77 (0.11)</v>
      </c>
      <c r="V20" s="14" t="str">
        <f>VLOOKUP(_xlfn.CONCAT(V$1:V$2,$P20),Table1!$I:$L,4,0)</f>
        <v>0.80 (0.13)</v>
      </c>
      <c r="W20" s="14" t="str">
        <f>VLOOKUP(_xlfn.CONCAT(W$1:W$2,$P20),Table1!$I:$L,4,0)</f>
        <v>0.77 (0.13)</v>
      </c>
      <c r="X20" s="14" t="str">
        <f>VLOOKUP(_xlfn.CONCAT(X$1:X$2,$P20),Table1!$I:$L,4,0)</f>
        <v>0.79 (0.11)</v>
      </c>
      <c r="Y20" s="14" t="str">
        <f>VLOOKUP(_xlfn.CONCAT(Y$1:Y$2,$P20),Table1!$I:$L,4,0)</f>
        <v>0.83 (0.10)</v>
      </c>
      <c r="Z20" s="14" t="str">
        <f>VLOOKUP(_xlfn.CONCAT(Z$1:Z$2,$P20),Table1!$I:$L,4,0)</f>
        <v>0.80 (0.12)</v>
      </c>
      <c r="AA20" s="14" t="str">
        <f>VLOOKUP(_xlfn.CONCAT(AA$1:AA$2,$P20),Table1!$I:$L,4,0)</f>
        <v>0.78 (0.13)</v>
      </c>
      <c r="AB20" s="14" t="e">
        <f>VLOOKUP(_xlfn.CONCAT(AB$1:AB$2,$P20),Table1!$I:$L,4,0)</f>
        <v>#N/A</v>
      </c>
      <c r="AC20" s="14" t="str">
        <f>VLOOKUP(_xlfn.CONCAT(AC$1:AC$2,$P20),Table1!$I:$L,4,0)</f>
        <v>0.84 (0.07)</v>
      </c>
      <c r="AD20" s="14" t="str">
        <f>VLOOKUP(_xlfn.CONCAT(AD$1:AD$2,$P20),Table1!$I:$L,4,0)</f>
        <v>0.80 (0.11)</v>
      </c>
      <c r="AE20" s="14" t="str">
        <f>VLOOKUP(_xlfn.CONCAT(AE$1:AE$2,$P20),Table1!$I:$L,4,0)</f>
        <v>0.76 (0.12)</v>
      </c>
      <c r="AF20" s="14" t="str">
        <f>VLOOKUP(_xlfn.CONCAT(AF$1:AF$2,$P20),Table1!$I:$L,4,0)</f>
        <v>0.81 (0.11)</v>
      </c>
      <c r="AG20" s="14" t="str">
        <f>VLOOKUP(_xlfn.CONCAT(AG$1:AG$2,$P20),Table1!$I:$L,4,0)</f>
        <v>0.80 (0.09)</v>
      </c>
      <c r="AH20" s="14" t="str">
        <f>VLOOKUP(_xlfn.CONCAT(AH$1:AH$2,$P20),Table1!$I:$L,4,0)</f>
        <v>0.78 (0.15)</v>
      </c>
      <c r="AI20" s="14" t="str">
        <f>VLOOKUP(_xlfn.CONCAT(AI$1:AI$2,$P20),Table1!$I:$L,4,0)</f>
        <v>0.68 (0.07)</v>
      </c>
    </row>
    <row r="21" spans="1:35" x14ac:dyDescent="0.25">
      <c r="A21" t="s">
        <v>77</v>
      </c>
      <c r="B21" t="s">
        <v>77</v>
      </c>
      <c r="C21" t="s">
        <v>99</v>
      </c>
      <c r="D21" s="12">
        <v>3778476</v>
      </c>
      <c r="E21" s="12"/>
      <c r="F21" s="12"/>
      <c r="G21" s="12"/>
      <c r="H21" s="12"/>
      <c r="I21" s="13" t="str">
        <f t="shared" si="0"/>
        <v>FCIPFCIPobs_n</v>
      </c>
      <c r="J21" s="13">
        <f t="shared" si="1"/>
        <v>3778476</v>
      </c>
      <c r="K21" s="14" t="str">
        <f t="shared" si="2"/>
        <v>3778476 (0)</v>
      </c>
      <c r="L21" s="14" t="str">
        <f t="shared" si="3"/>
        <v>3778476.00 (0.00)</v>
      </c>
      <c r="P21" s="14" t="s">
        <v>24</v>
      </c>
      <c r="Q21" s="4" t="s">
        <v>61</v>
      </c>
      <c r="R21" s="14" t="str">
        <f>VLOOKUP(_xlfn.CONCAT(R$1:R$2,$P21),Table1!$I:$L,4,0)</f>
        <v>0.85 (0.11)</v>
      </c>
      <c r="S21" s="14" t="str">
        <f>VLOOKUP(_xlfn.CONCAT(S$1:S$2,$P21),Table1!$I:$L,4,0)</f>
        <v>0.85 (0.11)</v>
      </c>
      <c r="T21" s="14" t="str">
        <f>VLOOKUP(_xlfn.CONCAT(T$1:T$2,$P21),Table1!$I:$L,4,0)</f>
        <v>0.83 (0.10)</v>
      </c>
      <c r="U21" s="14" t="str">
        <f>VLOOKUP(_xlfn.CONCAT(U$1:U$2,$P21),Table1!$I:$L,4,0)</f>
        <v>0.86 (0.12)</v>
      </c>
      <c r="V21" s="14" t="str">
        <f>VLOOKUP(_xlfn.CONCAT(V$1:V$2,$P21),Table1!$I:$L,4,0)</f>
        <v>0.87 (0.13)</v>
      </c>
      <c r="W21" s="14" t="str">
        <f>VLOOKUP(_xlfn.CONCAT(W$1:W$2,$P21),Table1!$I:$L,4,0)</f>
        <v>0.85 (0.13)</v>
      </c>
      <c r="X21" s="14" t="str">
        <f>VLOOKUP(_xlfn.CONCAT(X$1:X$2,$P21),Table1!$I:$L,4,0)</f>
        <v>0.87 (0.11)</v>
      </c>
      <c r="Y21" s="14" t="str">
        <f>VLOOKUP(_xlfn.CONCAT(Y$1:Y$2,$P21),Table1!$I:$L,4,0)</f>
        <v>0.89 (0.09)</v>
      </c>
      <c r="Z21" s="14" t="str">
        <f>VLOOKUP(_xlfn.CONCAT(Z$1:Z$2,$P21),Table1!$I:$L,4,0)</f>
        <v>0.87 (0.12)</v>
      </c>
      <c r="AA21" s="14" t="str">
        <f>VLOOKUP(_xlfn.CONCAT(AA$1:AA$2,$P21),Table1!$I:$L,4,0)</f>
        <v>0.86 (0.14)</v>
      </c>
      <c r="AB21" s="14" t="e">
        <f>VLOOKUP(_xlfn.CONCAT(AB$1:AB$2,$P21),Table1!$I:$L,4,0)</f>
        <v>#N/A</v>
      </c>
      <c r="AC21" s="14" t="str">
        <f>VLOOKUP(_xlfn.CONCAT(AC$1:AC$2,$P21),Table1!$I:$L,4,0)</f>
        <v>0.92 (0.05)</v>
      </c>
      <c r="AD21" s="14" t="str">
        <f>VLOOKUP(_xlfn.CONCAT(AD$1:AD$2,$P21),Table1!$I:$L,4,0)</f>
        <v>0.88 (0.11)</v>
      </c>
      <c r="AE21" s="14" t="str">
        <f>VLOOKUP(_xlfn.CONCAT(AE$1:AE$2,$P21),Table1!$I:$L,4,0)</f>
        <v>0.85 (0.11)</v>
      </c>
      <c r="AF21" s="14" t="str">
        <f>VLOOKUP(_xlfn.CONCAT(AF$1:AF$2,$P21),Table1!$I:$L,4,0)</f>
        <v>0.88 (0.11)</v>
      </c>
      <c r="AG21" s="14" t="str">
        <f>VLOOKUP(_xlfn.CONCAT(AG$1:AG$2,$P21),Table1!$I:$L,4,0)</f>
        <v>0.89 (0.09)</v>
      </c>
      <c r="AH21" s="14" t="str">
        <f>VLOOKUP(_xlfn.CONCAT(AH$1:AH$2,$P21),Table1!$I:$L,4,0)</f>
        <v>0.88 (0.08)</v>
      </c>
      <c r="AI21" s="14" t="str">
        <f>VLOOKUP(_xlfn.CONCAT(AI$1:AI$2,$P21),Table1!$I:$L,4,0)</f>
        <v>0.81 (0.07)</v>
      </c>
    </row>
    <row r="22" spans="1:35" x14ac:dyDescent="0.25">
      <c r="A22" t="s">
        <v>79</v>
      </c>
      <c r="B22" t="s">
        <v>80</v>
      </c>
      <c r="C22" t="s">
        <v>99</v>
      </c>
      <c r="D22" s="12">
        <v>3587403</v>
      </c>
      <c r="E22" s="12"/>
      <c r="F22" s="12"/>
      <c r="G22" s="12"/>
      <c r="H22" s="12"/>
      <c r="I22" s="13" t="str">
        <f t="shared" si="0"/>
        <v>CGRPField Cropsobs_n</v>
      </c>
      <c r="J22" s="13">
        <f t="shared" si="1"/>
        <v>3587403</v>
      </c>
      <c r="K22" s="14" t="str">
        <f t="shared" si="2"/>
        <v>3587403 (0)</v>
      </c>
      <c r="L22" s="14" t="str">
        <f t="shared" si="3"/>
        <v>3587403.00 (0.00)</v>
      </c>
      <c r="P22" s="14" t="s">
        <v>25</v>
      </c>
      <c r="Q22" s="4" t="s">
        <v>62</v>
      </c>
      <c r="R22" s="14" t="str">
        <f>VLOOKUP(_xlfn.CONCAT(R$1:R$2,$P22),Table1!$I:$L,4,0)</f>
        <v>0.95 (0.11)</v>
      </c>
      <c r="S22" s="14" t="str">
        <f>VLOOKUP(_xlfn.CONCAT(S$1:S$2,$P22),Table1!$I:$L,4,0)</f>
        <v>0.95 (0.11)</v>
      </c>
      <c r="T22" s="14" t="str">
        <f>VLOOKUP(_xlfn.CONCAT(T$1:T$2,$P22),Table1!$I:$L,4,0)</f>
        <v>0.96 (0.11)</v>
      </c>
      <c r="U22" s="14" t="str">
        <f>VLOOKUP(_xlfn.CONCAT(U$1:U$2,$P22),Table1!$I:$L,4,0)</f>
        <v>0.95 (0.12)</v>
      </c>
      <c r="V22" s="14" t="str">
        <f>VLOOKUP(_xlfn.CONCAT(V$1:V$2,$P22),Table1!$I:$L,4,0)</f>
        <v>0.95 (0.12)</v>
      </c>
      <c r="W22" s="14" t="str">
        <f>VLOOKUP(_xlfn.CONCAT(W$1:W$2,$P22),Table1!$I:$L,4,0)</f>
        <v>0.94 (0.14)</v>
      </c>
      <c r="X22" s="14" t="str">
        <f>VLOOKUP(_xlfn.CONCAT(X$1:X$2,$P22),Table1!$I:$L,4,0)</f>
        <v>0.96 (0.11)</v>
      </c>
      <c r="Y22" s="14" t="str">
        <f>VLOOKUP(_xlfn.CONCAT(Y$1:Y$2,$P22),Table1!$I:$L,4,0)</f>
        <v>0.97 (0.08)</v>
      </c>
      <c r="Z22" s="14" t="str">
        <f>VLOOKUP(_xlfn.CONCAT(Z$1:Z$2,$P22),Table1!$I:$L,4,0)</f>
        <v>0.95 (0.12)</v>
      </c>
      <c r="AA22" s="14" t="str">
        <f>VLOOKUP(_xlfn.CONCAT(AA$1:AA$2,$P22),Table1!$I:$L,4,0)</f>
        <v>0.94 (0.13)</v>
      </c>
      <c r="AB22" s="14" t="e">
        <f>VLOOKUP(_xlfn.CONCAT(AB$1:AB$2,$P22),Table1!$I:$L,4,0)</f>
        <v>#N/A</v>
      </c>
      <c r="AC22" s="14" t="str">
        <f>VLOOKUP(_xlfn.CONCAT(AC$1:AC$2,$P22),Table1!$I:$L,4,0)</f>
        <v>0.99 (0.04)</v>
      </c>
      <c r="AD22" s="14" t="str">
        <f>VLOOKUP(_xlfn.CONCAT(AD$1:AD$2,$P22),Table1!$I:$L,4,0)</f>
        <v>0.96 (0.11)</v>
      </c>
      <c r="AE22" s="14" t="str">
        <f>VLOOKUP(_xlfn.CONCAT(AE$1:AE$2,$P22),Table1!$I:$L,4,0)</f>
        <v>0.95 (0.12)</v>
      </c>
      <c r="AF22" s="14" t="str">
        <f>VLOOKUP(_xlfn.CONCAT(AF$1:AF$2,$P22),Table1!$I:$L,4,0)</f>
        <v>0.97 (0.10)</v>
      </c>
      <c r="AG22" s="14" t="str">
        <f>VLOOKUP(_xlfn.CONCAT(AG$1:AG$2,$P22),Table1!$I:$L,4,0)</f>
        <v>0.98 (0.09)</v>
      </c>
      <c r="AH22" s="14" t="str">
        <f>VLOOKUP(_xlfn.CONCAT(AH$1:AH$2,$P22),Table1!$I:$L,4,0)</f>
        <v>1.00 (0.03)</v>
      </c>
      <c r="AI22" s="14" t="str">
        <f>VLOOKUP(_xlfn.CONCAT(AI$1:AI$2,$P22),Table1!$I:$L,4,0)</f>
        <v>0.98 (0.08)</v>
      </c>
    </row>
    <row r="23" spans="1:35" x14ac:dyDescent="0.25">
      <c r="A23" t="s">
        <v>79</v>
      </c>
      <c r="B23" t="s">
        <v>81</v>
      </c>
      <c r="C23" t="s">
        <v>99</v>
      </c>
      <c r="D23" s="12">
        <v>7020</v>
      </c>
      <c r="E23" s="12"/>
      <c r="F23" s="12"/>
      <c r="G23" s="12"/>
      <c r="H23" s="12"/>
      <c r="I23" s="13" t="str">
        <f t="shared" si="0"/>
        <v>CGRPNutsobs_n</v>
      </c>
      <c r="J23" s="13">
        <f t="shared" si="1"/>
        <v>7020</v>
      </c>
      <c r="K23" s="14" t="str">
        <f t="shared" si="2"/>
        <v>7020 (0)</v>
      </c>
      <c r="L23" s="14" t="str">
        <f t="shared" si="3"/>
        <v>7020.00 (0.00)</v>
      </c>
      <c r="P23" s="14" t="s">
        <v>26</v>
      </c>
      <c r="Q23" s="4" t="s">
        <v>63</v>
      </c>
      <c r="R23" s="14" t="str">
        <f>VLOOKUP(_xlfn.CONCAT(R$1:R$2,$P23),Table1!$I:$L,4,0)</f>
        <v>1.08 (0.12)</v>
      </c>
      <c r="S23" s="14" t="str">
        <f>VLOOKUP(_xlfn.CONCAT(S$1:S$2,$P23),Table1!$I:$L,4,0)</f>
        <v>1.08 (0.11)</v>
      </c>
      <c r="T23" s="14" t="str">
        <f>VLOOKUP(_xlfn.CONCAT(T$1:T$2,$P23),Table1!$I:$L,4,0)</f>
        <v>1.11 (0.13)</v>
      </c>
      <c r="U23" s="14" t="str">
        <f>VLOOKUP(_xlfn.CONCAT(U$1:U$2,$P23),Table1!$I:$L,4,0)</f>
        <v>1.06 (0.11)</v>
      </c>
      <c r="V23" s="14" t="str">
        <f>VLOOKUP(_xlfn.CONCAT(V$1:V$2,$P23),Table1!$I:$L,4,0)</f>
        <v>1.05 (0.11)</v>
      </c>
      <c r="W23" s="14" t="str">
        <f>VLOOKUP(_xlfn.CONCAT(W$1:W$2,$P23),Table1!$I:$L,4,0)</f>
        <v>1.04 (0.12)</v>
      </c>
      <c r="X23" s="14" t="str">
        <f>VLOOKUP(_xlfn.CONCAT(X$1:X$2,$P23),Table1!$I:$L,4,0)</f>
        <v>1.06 (0.10)</v>
      </c>
      <c r="Y23" s="14" t="str">
        <f>VLOOKUP(_xlfn.CONCAT(Y$1:Y$2,$P23),Table1!$I:$L,4,0)</f>
        <v>1.07 (0.09)</v>
      </c>
      <c r="Z23" s="14" t="str">
        <f>VLOOKUP(_xlfn.CONCAT(Z$1:Z$2,$P23),Table1!$I:$L,4,0)</f>
        <v>1.06 (0.12)</v>
      </c>
      <c r="AA23" s="14" t="str">
        <f>VLOOKUP(_xlfn.CONCAT(AA$1:AA$2,$P23),Table1!$I:$L,4,0)</f>
        <v>1.03 (0.11)</v>
      </c>
      <c r="AB23" s="14" t="e">
        <f>VLOOKUP(_xlfn.CONCAT(AB$1:AB$2,$P23),Table1!$I:$L,4,0)</f>
        <v>#N/A</v>
      </c>
      <c r="AC23" s="14" t="str">
        <f>VLOOKUP(_xlfn.CONCAT(AC$1:AC$2,$P23),Table1!$I:$L,4,0)</f>
        <v>1.08 (0.05)</v>
      </c>
      <c r="AD23" s="14" t="str">
        <f>VLOOKUP(_xlfn.CONCAT(AD$1:AD$2,$P23),Table1!$I:$L,4,0)</f>
        <v>1.06 (0.09)</v>
      </c>
      <c r="AE23" s="14" t="str">
        <f>VLOOKUP(_xlfn.CONCAT(AE$1:AE$2,$P23),Table1!$I:$L,4,0)</f>
        <v>1.08 (0.12)</v>
      </c>
      <c r="AF23" s="14" t="str">
        <f>VLOOKUP(_xlfn.CONCAT(AF$1:AF$2,$P23),Table1!$I:$L,4,0)</f>
        <v>1.07 (0.10)</v>
      </c>
      <c r="AG23" s="14" t="str">
        <f>VLOOKUP(_xlfn.CONCAT(AG$1:AG$2,$P23),Table1!$I:$L,4,0)</f>
        <v>1.08 (0.09)</v>
      </c>
      <c r="AH23" s="14" t="str">
        <f>VLOOKUP(_xlfn.CONCAT(AH$1:AH$2,$P23),Table1!$I:$L,4,0)</f>
        <v>1.13 (0.09)</v>
      </c>
      <c r="AI23" s="14" t="str">
        <f>VLOOKUP(_xlfn.CONCAT(AI$1:AI$2,$P23),Table1!$I:$L,4,0)</f>
        <v>1.19 (0.10)</v>
      </c>
    </row>
    <row r="24" spans="1:35" x14ac:dyDescent="0.25">
      <c r="A24" t="s">
        <v>79</v>
      </c>
      <c r="B24" t="s">
        <v>82</v>
      </c>
      <c r="C24" t="s">
        <v>99</v>
      </c>
      <c r="D24" s="12">
        <v>56199</v>
      </c>
      <c r="E24" s="12"/>
      <c r="F24" s="12"/>
      <c r="G24" s="12"/>
      <c r="H24" s="12"/>
      <c r="I24" s="13" t="str">
        <f t="shared" si="0"/>
        <v>CGRPForagesobs_n</v>
      </c>
      <c r="J24" s="13">
        <f t="shared" si="1"/>
        <v>56199</v>
      </c>
      <c r="K24" s="14" t="str">
        <f t="shared" si="2"/>
        <v>56199 (0)</v>
      </c>
      <c r="L24" s="14" t="str">
        <f t="shared" si="3"/>
        <v>56199.00 (0.00)</v>
      </c>
      <c r="P24" s="14" t="s">
        <v>27</v>
      </c>
      <c r="Q24" s="4" t="s">
        <v>64</v>
      </c>
      <c r="R24" s="14" t="str">
        <f>VLOOKUP(_xlfn.CONCAT(R$1:R$2,$P24),Table1!$I:$L,4,0)</f>
        <v>1.22 (0.14)</v>
      </c>
      <c r="S24" s="14" t="str">
        <f>VLOOKUP(_xlfn.CONCAT(S$1:S$2,$P24),Table1!$I:$L,4,0)</f>
        <v>1.22 (0.13)</v>
      </c>
      <c r="T24" s="14" t="str">
        <f>VLOOKUP(_xlfn.CONCAT(T$1:T$2,$P24),Table1!$I:$L,4,0)</f>
        <v>1.30 (0.17)</v>
      </c>
      <c r="U24" s="14" t="str">
        <f>VLOOKUP(_xlfn.CONCAT(U$1:U$2,$P24),Table1!$I:$L,4,0)</f>
        <v>1.18 (0.12)</v>
      </c>
      <c r="V24" s="14" t="str">
        <f>VLOOKUP(_xlfn.CONCAT(V$1:V$2,$P24),Table1!$I:$L,4,0)</f>
        <v>1.16 (0.10)</v>
      </c>
      <c r="W24" s="14" t="str">
        <f>VLOOKUP(_xlfn.CONCAT(W$1:W$2,$P24),Table1!$I:$L,4,0)</f>
        <v>1.17 (0.11)</v>
      </c>
      <c r="X24" s="14" t="str">
        <f>VLOOKUP(_xlfn.CONCAT(X$1:X$2,$P24),Table1!$I:$L,4,0)</f>
        <v>1.18 (0.09)</v>
      </c>
      <c r="Y24" s="14" t="str">
        <f>VLOOKUP(_xlfn.CONCAT(Y$1:Y$2,$P24),Table1!$I:$L,4,0)</f>
        <v>1.19 (0.12)</v>
      </c>
      <c r="Z24" s="14" t="str">
        <f>VLOOKUP(_xlfn.CONCAT(Z$1:Z$2,$P24),Table1!$I:$L,4,0)</f>
        <v>1.20 (0.16)</v>
      </c>
      <c r="AA24" s="14" t="str">
        <f>VLOOKUP(_xlfn.CONCAT(AA$1:AA$2,$P24),Table1!$I:$L,4,0)</f>
        <v>1.14 (0.08)</v>
      </c>
      <c r="AB24" s="14" t="e">
        <f>VLOOKUP(_xlfn.CONCAT(AB$1:AB$2,$P24),Table1!$I:$L,4,0)</f>
        <v>#N/A</v>
      </c>
      <c r="AC24" s="14" t="str">
        <f>VLOOKUP(_xlfn.CONCAT(AC$1:AC$2,$P24),Table1!$I:$L,4,0)</f>
        <v>1.17 (0.08)</v>
      </c>
      <c r="AD24" s="14" t="str">
        <f>VLOOKUP(_xlfn.CONCAT(AD$1:AD$2,$P24),Table1!$I:$L,4,0)</f>
        <v>1.17 (0.08)</v>
      </c>
      <c r="AE24" s="14" t="str">
        <f>VLOOKUP(_xlfn.CONCAT(AE$1:AE$2,$P24),Table1!$I:$L,4,0)</f>
        <v>1.22 (0.14)</v>
      </c>
      <c r="AF24" s="14" t="str">
        <f>VLOOKUP(_xlfn.CONCAT(AF$1:AF$2,$P24),Table1!$I:$L,4,0)</f>
        <v>1.20 (0.14)</v>
      </c>
      <c r="AG24" s="14" t="str">
        <f>VLOOKUP(_xlfn.CONCAT(AG$1:AG$2,$P24),Table1!$I:$L,4,0)</f>
        <v>1.21 (0.12)</v>
      </c>
      <c r="AH24" s="14" t="str">
        <f>VLOOKUP(_xlfn.CONCAT(AH$1:AH$2,$P24),Table1!$I:$L,4,0)</f>
        <v>1.27 (0.19)</v>
      </c>
      <c r="AI24" s="14" t="str">
        <f>VLOOKUP(_xlfn.CONCAT(AI$1:AI$2,$P24),Table1!$I:$L,4,0)</f>
        <v>1.45 (0.13)</v>
      </c>
    </row>
    <row r="25" spans="1:35" x14ac:dyDescent="0.25">
      <c r="A25" t="s">
        <v>79</v>
      </c>
      <c r="B25" t="s">
        <v>83</v>
      </c>
      <c r="C25" t="s">
        <v>99</v>
      </c>
      <c r="D25" s="12">
        <v>8747</v>
      </c>
      <c r="E25" s="12"/>
      <c r="F25" s="12"/>
      <c r="G25" s="12"/>
      <c r="H25" s="12"/>
      <c r="I25" s="13" t="str">
        <f t="shared" si="0"/>
        <v>CGRPFruitsobs_n</v>
      </c>
      <c r="J25" s="13">
        <f t="shared" si="1"/>
        <v>8747</v>
      </c>
      <c r="K25" s="14" t="str">
        <f t="shared" si="2"/>
        <v>8747 (0)</v>
      </c>
      <c r="L25" s="14" t="str">
        <f t="shared" si="3"/>
        <v>8747.00 (0.00)</v>
      </c>
      <c r="P25" s="14" t="s">
        <v>28</v>
      </c>
      <c r="Q25" s="4" t="s">
        <v>65</v>
      </c>
      <c r="R25" s="14" t="str">
        <f>VLOOKUP(_xlfn.CONCAT(R$1:R$2,$P25),Table1!$I:$L,4,0)</f>
        <v>1.38 (0.20)</v>
      </c>
      <c r="S25" s="14" t="str">
        <f>VLOOKUP(_xlfn.CONCAT(S$1:S$2,$P25),Table1!$I:$L,4,0)</f>
        <v>1.37 (0.16)</v>
      </c>
      <c r="T25" s="14" t="str">
        <f>VLOOKUP(_xlfn.CONCAT(T$1:T$2,$P25),Table1!$I:$L,4,0)</f>
        <v>1.53 (0.23)</v>
      </c>
      <c r="U25" s="14" t="str">
        <f>VLOOKUP(_xlfn.CONCAT(U$1:U$2,$P25),Table1!$I:$L,4,0)</f>
        <v>1.32 (0.14)</v>
      </c>
      <c r="V25" s="14" t="str">
        <f>VLOOKUP(_xlfn.CONCAT(V$1:V$2,$P25),Table1!$I:$L,4,0)</f>
        <v>1.29 (0.12)</v>
      </c>
      <c r="W25" s="14" t="str">
        <f>VLOOKUP(_xlfn.CONCAT(W$1:W$2,$P25),Table1!$I:$L,4,0)</f>
        <v>1.33 (0.12)</v>
      </c>
      <c r="X25" s="14" t="str">
        <f>VLOOKUP(_xlfn.CONCAT(X$1:X$2,$P25),Table1!$I:$L,4,0)</f>
        <v>1.32 (0.10)</v>
      </c>
      <c r="Y25" s="14" t="str">
        <f>VLOOKUP(_xlfn.CONCAT(Y$1:Y$2,$P25),Table1!$I:$L,4,0)</f>
        <v>1.34 (0.17)</v>
      </c>
      <c r="Z25" s="14" t="str">
        <f>VLOOKUP(_xlfn.CONCAT(Z$1:Z$2,$P25),Table1!$I:$L,4,0)</f>
        <v>1.34 (0.22)</v>
      </c>
      <c r="AA25" s="14" t="str">
        <f>VLOOKUP(_xlfn.CONCAT(AA$1:AA$2,$P25),Table1!$I:$L,4,0)</f>
        <v>1.26 (0.07)</v>
      </c>
      <c r="AB25" s="14" t="e">
        <f>VLOOKUP(_xlfn.CONCAT(AB$1:AB$2,$P25),Table1!$I:$L,4,0)</f>
        <v>#N/A</v>
      </c>
      <c r="AC25" s="14" t="str">
        <f>VLOOKUP(_xlfn.CONCAT(AC$1:AC$2,$P25),Table1!$I:$L,4,0)</f>
        <v>1.27 (0.11)</v>
      </c>
      <c r="AD25" s="14" t="str">
        <f>VLOOKUP(_xlfn.CONCAT(AD$1:AD$2,$P25),Table1!$I:$L,4,0)</f>
        <v>1.28 (0.09)</v>
      </c>
      <c r="AE25" s="14" t="str">
        <f>VLOOKUP(_xlfn.CONCAT(AE$1:AE$2,$P25),Table1!$I:$L,4,0)</f>
        <v>1.39 (0.20)</v>
      </c>
      <c r="AF25" s="14" t="str">
        <f>VLOOKUP(_xlfn.CONCAT(AF$1:AF$2,$P25),Table1!$I:$L,4,0)</f>
        <v>1.33 (0.21)</v>
      </c>
      <c r="AG25" s="14" t="str">
        <f>VLOOKUP(_xlfn.CONCAT(AG$1:AG$2,$P25),Table1!$I:$L,4,0)</f>
        <v>1.30 (0.16)</v>
      </c>
      <c r="AH25" s="14" t="str">
        <f>VLOOKUP(_xlfn.CONCAT(AH$1:AH$2,$P25),Table1!$I:$L,4,0)</f>
        <v>1.37 (0.29)</v>
      </c>
      <c r="AI25" s="14" t="str">
        <f>VLOOKUP(_xlfn.CONCAT(AI$1:AI$2,$P25),Table1!$I:$L,4,0)</f>
        <v>1.71 (0.16)</v>
      </c>
    </row>
    <row r="26" spans="1:35" x14ac:dyDescent="0.25">
      <c r="A26" t="s">
        <v>79</v>
      </c>
      <c r="B26" t="s">
        <v>84</v>
      </c>
      <c r="C26" t="s">
        <v>99</v>
      </c>
      <c r="D26" s="12">
        <v>119107</v>
      </c>
      <c r="E26" s="12"/>
      <c r="F26" s="12"/>
      <c r="G26" s="12"/>
      <c r="H26" s="12"/>
      <c r="I26" s="13" t="str">
        <f t="shared" si="0"/>
        <v>CGRPVegetablesobs_n</v>
      </c>
      <c r="J26" s="13">
        <f t="shared" si="1"/>
        <v>119107</v>
      </c>
      <c r="K26" s="14" t="str">
        <f t="shared" si="2"/>
        <v>119107 (0)</v>
      </c>
      <c r="L26" s="14" t="str">
        <f t="shared" si="3"/>
        <v>119107.00 (0.00)</v>
      </c>
      <c r="P26" s="14" t="s">
        <v>29</v>
      </c>
      <c r="Q26" s="4" t="s">
        <v>66</v>
      </c>
      <c r="R26" s="14" t="str">
        <f>VLOOKUP(_xlfn.CONCAT(R$1:R$2,$P26),Table1!$I:$L,4,0)</f>
        <v>1.56 (0.28)</v>
      </c>
      <c r="S26" s="14" t="str">
        <f>VLOOKUP(_xlfn.CONCAT(S$1:S$2,$P26),Table1!$I:$L,4,0)</f>
        <v>1.55 (0.22)</v>
      </c>
      <c r="T26" s="14" t="str">
        <f>VLOOKUP(_xlfn.CONCAT(T$1:T$2,$P26),Table1!$I:$L,4,0)</f>
        <v>1.79 (0.32)</v>
      </c>
      <c r="U26" s="14" t="str">
        <f>VLOOKUP(_xlfn.CONCAT(U$1:U$2,$P26),Table1!$I:$L,4,0)</f>
        <v>1.46 (0.19)</v>
      </c>
      <c r="V26" s="14" t="str">
        <f>VLOOKUP(_xlfn.CONCAT(V$1:V$2,$P26),Table1!$I:$L,4,0)</f>
        <v>1.44 (0.18)</v>
      </c>
      <c r="W26" s="14" t="str">
        <f>VLOOKUP(_xlfn.CONCAT(W$1:W$2,$P26),Table1!$I:$L,4,0)</f>
        <v>1.50 (0.17)</v>
      </c>
      <c r="X26" s="14" t="str">
        <f>VLOOKUP(_xlfn.CONCAT(X$1:X$2,$P26),Table1!$I:$L,4,0)</f>
        <v>1.47 (0.14)</v>
      </c>
      <c r="Y26" s="14" t="str">
        <f>VLOOKUP(_xlfn.CONCAT(Y$1:Y$2,$P26),Table1!$I:$L,4,0)</f>
        <v>1.52 (0.24)</v>
      </c>
      <c r="Z26" s="14" t="str">
        <f>VLOOKUP(_xlfn.CONCAT(Z$1:Z$2,$P26),Table1!$I:$L,4,0)</f>
        <v>1.51 (0.32)</v>
      </c>
      <c r="AA26" s="14" t="str">
        <f>VLOOKUP(_xlfn.CONCAT(AA$1:AA$2,$P26),Table1!$I:$L,4,0)</f>
        <v>1.38 (0.10)</v>
      </c>
      <c r="AB26" s="14" t="e">
        <f>VLOOKUP(_xlfn.CONCAT(AB$1:AB$2,$P26),Table1!$I:$L,4,0)</f>
        <v>#N/A</v>
      </c>
      <c r="AC26" s="14" t="str">
        <f>VLOOKUP(_xlfn.CONCAT(AC$1:AC$2,$P26),Table1!$I:$L,4,0)</f>
        <v>1.38 (0.15)</v>
      </c>
      <c r="AD26" s="14" t="str">
        <f>VLOOKUP(_xlfn.CONCAT(AD$1:AD$2,$P26),Table1!$I:$L,4,0)</f>
        <v>1.40 (0.12)</v>
      </c>
      <c r="AE26" s="14" t="str">
        <f>VLOOKUP(_xlfn.CONCAT(AE$1:AE$2,$P26),Table1!$I:$L,4,0)</f>
        <v>1.57 (0.28)</v>
      </c>
      <c r="AF26" s="14" t="str">
        <f>VLOOKUP(_xlfn.CONCAT(AF$1:AF$2,$P26),Table1!$I:$L,4,0)</f>
        <v>1.48 (0.30)</v>
      </c>
      <c r="AG26" s="14" t="str">
        <f>VLOOKUP(_xlfn.CONCAT(AG$1:AG$2,$P26),Table1!$I:$L,4,0)</f>
        <v>1.41 (0.24)</v>
      </c>
      <c r="AH26" s="14" t="str">
        <f>VLOOKUP(_xlfn.CONCAT(AH$1:AH$2,$P26),Table1!$I:$L,4,0)</f>
        <v>1.50 (0.41)</v>
      </c>
      <c r="AI26" s="14" t="str">
        <f>VLOOKUP(_xlfn.CONCAT(AI$1:AI$2,$P26),Table1!$I:$L,4,0)</f>
        <v>2.00 (0.21)</v>
      </c>
    </row>
    <row r="27" spans="1:35" x14ac:dyDescent="0.25">
      <c r="A27" t="s">
        <v>85</v>
      </c>
      <c r="B27" t="s">
        <v>86</v>
      </c>
      <c r="C27" t="s">
        <v>99</v>
      </c>
      <c r="D27" s="12">
        <v>700261</v>
      </c>
      <c r="E27" s="12"/>
      <c r="F27" s="12"/>
      <c r="G27" s="12"/>
      <c r="H27" s="12"/>
      <c r="I27" s="13" t="str">
        <f t="shared" si="0"/>
        <v>TOPCROPWHEATobs_n</v>
      </c>
      <c r="J27" s="13">
        <f t="shared" si="1"/>
        <v>700261</v>
      </c>
      <c r="K27" s="14" t="str">
        <f t="shared" si="2"/>
        <v>700261 (0)</v>
      </c>
      <c r="L27" s="14" t="str">
        <f t="shared" si="3"/>
        <v>700261.00 (0.00)</v>
      </c>
      <c r="P27" s="14" t="s">
        <v>19</v>
      </c>
      <c r="Q27" s="4" t="s">
        <v>32</v>
      </c>
      <c r="R27" s="14" t="str">
        <f>VLOOKUP(_xlfn.CONCAT(R$1:R$2,$P27),Table1!$I:$L,4,0)</f>
        <v>1.03 (0.03)</v>
      </c>
      <c r="S27" s="14" t="str">
        <f>VLOOKUP(_xlfn.CONCAT(S$1:S$2,$P27),Table1!$I:$L,4,0)</f>
        <v>1.03 (0.03)</v>
      </c>
      <c r="T27" s="14" t="str">
        <f>VLOOKUP(_xlfn.CONCAT(T$1:T$2,$P27),Table1!$I:$L,4,0)</f>
        <v>1.03 (0.03)</v>
      </c>
      <c r="U27" s="14" t="str">
        <f>VLOOKUP(_xlfn.CONCAT(U$1:U$2,$P27),Table1!$I:$L,4,0)</f>
        <v>1.04 (0.02)</v>
      </c>
      <c r="V27" s="14" t="str">
        <f>VLOOKUP(_xlfn.CONCAT(V$1:V$2,$P27),Table1!$I:$L,4,0)</f>
        <v>1.05 (0.02)</v>
      </c>
      <c r="W27" s="14" t="str">
        <f>VLOOKUP(_xlfn.CONCAT(W$1:W$2,$P27),Table1!$I:$L,4,0)</f>
        <v>1.03 (0.02)</v>
      </c>
      <c r="X27" s="14" t="str">
        <f>VLOOKUP(_xlfn.CONCAT(X$1:X$2,$P27),Table1!$I:$L,4,0)</f>
        <v>1.05 (0.02)</v>
      </c>
      <c r="Y27" s="14" t="str">
        <f>VLOOKUP(_xlfn.CONCAT(Y$1:Y$2,$P27),Table1!$I:$L,4,0)</f>
        <v>1.04 (0.02)</v>
      </c>
      <c r="Z27" s="14" t="str">
        <f>VLOOKUP(_xlfn.CONCAT(Z$1:Z$2,$P27),Table1!$I:$L,4,0)</f>
        <v>1.03 (0.02)</v>
      </c>
      <c r="AA27" s="14" t="str">
        <f>VLOOKUP(_xlfn.CONCAT(AA$1:AA$2,$P27),Table1!$I:$L,4,0)</f>
        <v>1.03 (0.02)</v>
      </c>
      <c r="AB27" s="14" t="e">
        <f>VLOOKUP(_xlfn.CONCAT(AB$1:AB$2,$P27),Table1!$I:$L,4,0)</f>
        <v>#N/A</v>
      </c>
      <c r="AC27" s="14" t="str">
        <f>VLOOKUP(_xlfn.CONCAT(AC$1:AC$2,$P27),Table1!$I:$L,4,0)</f>
        <v>1.05 (0.02)</v>
      </c>
      <c r="AD27" s="14" t="str">
        <f>VLOOKUP(_xlfn.CONCAT(AD$1:AD$2,$P27),Table1!$I:$L,4,0)</f>
        <v>1.06 (0.03)</v>
      </c>
      <c r="AE27" s="14" t="str">
        <f>VLOOKUP(_xlfn.CONCAT(AE$1:AE$2,$P27),Table1!$I:$L,4,0)</f>
        <v>1.03 (0.03)</v>
      </c>
      <c r="AF27" s="14" t="str">
        <f>VLOOKUP(_xlfn.CONCAT(AF$1:AF$2,$P27),Table1!$I:$L,4,0)</f>
        <v>1.04 (0.02)</v>
      </c>
      <c r="AG27" s="14" t="str">
        <f>VLOOKUP(_xlfn.CONCAT(AG$1:AG$2,$P27),Table1!$I:$L,4,0)</f>
        <v>1.03 (0.02)</v>
      </c>
      <c r="AH27" s="14" t="str">
        <f>VLOOKUP(_xlfn.CONCAT(AH$1:AH$2,$P27),Table1!$I:$L,4,0)</f>
        <v>1.04 (0.02)</v>
      </c>
      <c r="AI27" s="14" t="str">
        <f>VLOOKUP(_xlfn.CONCAT(AI$1:AI$2,$P27),Table1!$I:$L,4,0)</f>
        <v>1.03 (0.02)</v>
      </c>
    </row>
    <row r="28" spans="1:35" x14ac:dyDescent="0.25">
      <c r="A28" t="s">
        <v>85</v>
      </c>
      <c r="B28" t="s">
        <v>87</v>
      </c>
      <c r="C28" t="s">
        <v>99</v>
      </c>
      <c r="D28" s="12">
        <v>22733</v>
      </c>
      <c r="E28" s="12"/>
      <c r="F28" s="12"/>
      <c r="G28" s="12"/>
      <c r="H28" s="12"/>
      <c r="I28" s="13" t="str">
        <f t="shared" si="0"/>
        <v>TOPCROPCANOLAobs_n</v>
      </c>
      <c r="J28" s="13">
        <f t="shared" si="1"/>
        <v>22733</v>
      </c>
      <c r="K28" s="14" t="str">
        <f t="shared" si="2"/>
        <v>22733 (0)</v>
      </c>
      <c r="L28" s="14" t="str">
        <f t="shared" si="3"/>
        <v>22733.00 (0.00)</v>
      </c>
      <c r="P28" s="14" t="s">
        <v>20</v>
      </c>
      <c r="Q28" s="5" t="s">
        <v>67</v>
      </c>
      <c r="R28" s="14" t="str">
        <f>VLOOKUP(_xlfn.CONCAT(R$1:R$2,$P28),Table1!$I:$L,4,0)</f>
        <v>1.01 (0.03)</v>
      </c>
      <c r="S28" s="14" t="str">
        <f>VLOOKUP(_xlfn.CONCAT(S$1:S$2,$P28),Table1!$I:$L,4,0)</f>
        <v>1.00 (0.04)</v>
      </c>
      <c r="T28" s="14" t="str">
        <f>VLOOKUP(_xlfn.CONCAT(T$1:T$2,$P28),Table1!$I:$L,4,0)</f>
        <v>0.99 (0.04)</v>
      </c>
      <c r="U28" s="14" t="str">
        <f>VLOOKUP(_xlfn.CONCAT(U$1:U$2,$P28),Table1!$I:$L,4,0)</f>
        <v>1.02 (0.01)</v>
      </c>
      <c r="V28" s="14" t="str">
        <f>VLOOKUP(_xlfn.CONCAT(V$1:V$2,$P28),Table1!$I:$L,4,0)</f>
        <v>1.03 (0.01)</v>
      </c>
      <c r="W28" s="14" t="str">
        <f>VLOOKUP(_xlfn.CONCAT(W$1:W$2,$P28),Table1!$I:$L,4,0)</f>
        <v>1.01 (0.01)</v>
      </c>
      <c r="X28" s="14" t="str">
        <f>VLOOKUP(_xlfn.CONCAT(X$1:X$2,$P28),Table1!$I:$L,4,0)</f>
        <v>1.03 (0.01)</v>
      </c>
      <c r="Y28" s="14" t="str">
        <f>VLOOKUP(_xlfn.CONCAT(Y$1:Y$2,$P28),Table1!$I:$L,4,0)</f>
        <v>1.02 (0.01)</v>
      </c>
      <c r="Z28" s="14" t="str">
        <f>VLOOKUP(_xlfn.CONCAT(Z$1:Z$2,$P28),Table1!$I:$L,4,0)</f>
        <v>1.02 (0.01)</v>
      </c>
      <c r="AA28" s="14" t="str">
        <f>VLOOKUP(_xlfn.CONCAT(AA$1:AA$2,$P28),Table1!$I:$L,4,0)</f>
        <v>1.02 (0.01)</v>
      </c>
      <c r="AB28" s="14" t="e">
        <f>VLOOKUP(_xlfn.CONCAT(AB$1:AB$2,$P28),Table1!$I:$L,4,0)</f>
        <v>#N/A</v>
      </c>
      <c r="AC28" s="14" t="str">
        <f>VLOOKUP(_xlfn.CONCAT(AC$1:AC$2,$P28),Table1!$I:$L,4,0)</f>
        <v>1.03 (0.01)</v>
      </c>
      <c r="AD28" s="14" t="str">
        <f>VLOOKUP(_xlfn.CONCAT(AD$1:AD$2,$P28),Table1!$I:$L,4,0)</f>
        <v>1.03 (0.01)</v>
      </c>
      <c r="AE28" s="14" t="str">
        <f>VLOOKUP(_xlfn.CONCAT(AE$1:AE$2,$P28),Table1!$I:$L,4,0)</f>
        <v>1.01 (0.04)</v>
      </c>
      <c r="AF28" s="14" t="str">
        <f>VLOOKUP(_xlfn.CONCAT(AF$1:AF$2,$P28),Table1!$I:$L,4,0)</f>
        <v>1.02 (0.01)</v>
      </c>
      <c r="AG28" s="14" t="str">
        <f>VLOOKUP(_xlfn.CONCAT(AG$1:AG$2,$P28),Table1!$I:$L,4,0)</f>
        <v>1.01 (0.01)</v>
      </c>
      <c r="AH28" s="14" t="str">
        <f>VLOOKUP(_xlfn.CONCAT(AH$1:AH$2,$P28),Table1!$I:$L,4,0)</f>
        <v>1.00 (0.01)</v>
      </c>
      <c r="AI28" s="14" t="str">
        <f>VLOOKUP(_xlfn.CONCAT(AI$1:AI$2,$P28),Table1!$I:$L,4,0)</f>
        <v>1.00 (0.01)</v>
      </c>
    </row>
    <row r="29" spans="1:35" x14ac:dyDescent="0.25">
      <c r="A29" t="s">
        <v>85</v>
      </c>
      <c r="B29" t="s">
        <v>88</v>
      </c>
      <c r="C29" t="s">
        <v>99</v>
      </c>
      <c r="D29" s="12">
        <v>285195</v>
      </c>
      <c r="E29" s="12"/>
      <c r="F29" s="12"/>
      <c r="G29" s="12"/>
      <c r="H29" s="12"/>
      <c r="I29" s="13" t="str">
        <f t="shared" si="0"/>
        <v>TOPCROPOTHERobs_n</v>
      </c>
      <c r="J29" s="13">
        <f t="shared" si="1"/>
        <v>285195</v>
      </c>
      <c r="K29" s="14" t="str">
        <f t="shared" si="2"/>
        <v>285195 (0)</v>
      </c>
      <c r="L29" s="14" t="str">
        <f t="shared" si="3"/>
        <v>285195.00 (0.00)</v>
      </c>
      <c r="P29" s="11" t="s">
        <v>34</v>
      </c>
      <c r="Q29" s="6" t="s">
        <v>68</v>
      </c>
      <c r="R29" s="7">
        <f>VLOOKUP(_xlfn.CONCAT(R$1:R$2,$P29),Table1!$I:$L,2,0)</f>
        <v>647486</v>
      </c>
      <c r="S29" s="7">
        <f>VLOOKUP(_xlfn.CONCAT(S$1:S$2,$P29),Table1!$I:$L,2,0)</f>
        <v>133526</v>
      </c>
      <c r="T29" s="7">
        <f>VLOOKUP(_xlfn.CONCAT(T$1:T$2,$P29),Table1!$I:$L,2,0)</f>
        <v>180433</v>
      </c>
      <c r="U29" s="7">
        <f>VLOOKUP(_xlfn.CONCAT(U$1:U$2,$P29),Table1!$I:$L,2,0)</f>
        <v>125861</v>
      </c>
      <c r="V29" s="7">
        <f>VLOOKUP(_xlfn.CONCAT(V$1:V$2,$P29),Table1!$I:$L,2,0)</f>
        <v>31439</v>
      </c>
      <c r="W29" s="7">
        <f>VLOOKUP(_xlfn.CONCAT(W$1:W$2,$P29),Table1!$I:$L,2,0)</f>
        <v>32582</v>
      </c>
      <c r="X29" s="7">
        <f>VLOOKUP(_xlfn.CONCAT(X$1:X$2,$P29),Table1!$I:$L,2,0)</f>
        <v>23188</v>
      </c>
      <c r="Y29" s="7">
        <f>VLOOKUP(_xlfn.CONCAT(Y$1:Y$2,$P29),Table1!$I:$L,2,0)</f>
        <v>9437</v>
      </c>
      <c r="Z29" s="7">
        <f>VLOOKUP(_xlfn.CONCAT(Z$1:Z$2,$P29),Table1!$I:$L,2,0)</f>
        <v>16311</v>
      </c>
      <c r="AA29" s="7">
        <f>VLOOKUP(_xlfn.CONCAT(AA$1:AA$2,$P29),Table1!$I:$L,2,0)</f>
        <v>15723</v>
      </c>
      <c r="AB29" s="7" t="e">
        <f>VLOOKUP(_xlfn.CONCAT(AB$1:AB$2,$P29),Table1!$I:$L,2,0)</f>
        <v>#N/A</v>
      </c>
      <c r="AC29" s="7">
        <f>VLOOKUP(_xlfn.CONCAT(AC$1:AC$2,$P29),Table1!$I:$L,2,0)</f>
        <v>10677</v>
      </c>
      <c r="AD29" s="7">
        <f>VLOOKUP(_xlfn.CONCAT(AD$1:AD$2,$P29),Table1!$I:$L,2,0)</f>
        <v>6699</v>
      </c>
      <c r="AE29" s="7">
        <f>VLOOKUP(_xlfn.CONCAT(AE$1:AE$2,$P29),Table1!$I:$L,2,0)</f>
        <v>599535</v>
      </c>
      <c r="AF29" s="7">
        <f>VLOOKUP(_xlfn.CONCAT(AF$1:AF$2,$P29),Table1!$I:$L,2,0)</f>
        <v>31450</v>
      </c>
      <c r="AG29" s="7">
        <f>VLOOKUP(_xlfn.CONCAT(AG$1:AG$2,$P29),Table1!$I:$L,2,0)</f>
        <v>14312</v>
      </c>
      <c r="AH29" s="7">
        <f>VLOOKUP(_xlfn.CONCAT(AH$1:AH$2,$P29),Table1!$I:$L,2,0)</f>
        <v>1387</v>
      </c>
      <c r="AI29" s="7">
        <f>VLOOKUP(_xlfn.CONCAT(AI$1:AI$2,$P29),Table1!$I:$L,2,0)</f>
        <v>802</v>
      </c>
    </row>
    <row r="30" spans="1:35" x14ac:dyDescent="0.25">
      <c r="A30" t="s">
        <v>85</v>
      </c>
      <c r="B30" t="s">
        <v>89</v>
      </c>
      <c r="C30" t="s">
        <v>99</v>
      </c>
      <c r="D30">
        <v>43075</v>
      </c>
      <c r="I30" s="13" t="str">
        <f t="shared" si="0"/>
        <v>TOPCROPRICEobs_n</v>
      </c>
      <c r="J30" s="13">
        <f t="shared" si="1"/>
        <v>43075</v>
      </c>
      <c r="K30" s="14" t="str">
        <f t="shared" si="2"/>
        <v>43075 (0)</v>
      </c>
      <c r="L30" s="14" t="str">
        <f t="shared" si="3"/>
        <v>43075.00 (0.00)</v>
      </c>
      <c r="P30" s="14" t="s">
        <v>3</v>
      </c>
      <c r="Q30" s="8" t="s">
        <v>18</v>
      </c>
      <c r="R30" s="9">
        <f>VLOOKUP(_xlfn.CONCAT(R$1:R$2,$P30),Table1!$I:$L,2,0)</f>
        <v>3778476</v>
      </c>
      <c r="S30" s="9">
        <f>VLOOKUP(_xlfn.CONCAT(S$1:S$2,$P30),Table1!$I:$L,2,0)</f>
        <v>1075064</v>
      </c>
      <c r="T30" s="9">
        <f>VLOOKUP(_xlfn.CONCAT(T$1:T$2,$P30),Table1!$I:$L,2,0)</f>
        <v>1017542</v>
      </c>
      <c r="U30" s="9">
        <f>VLOOKUP(_xlfn.CONCAT(U$1:U$2,$P30),Table1!$I:$L,2,0)</f>
        <v>700261</v>
      </c>
      <c r="V30" s="9">
        <f>VLOOKUP(_xlfn.CONCAT(V$1:V$2,$P30),Table1!$I:$L,2,0)</f>
        <v>211012</v>
      </c>
      <c r="W30" s="9">
        <f>VLOOKUP(_xlfn.CONCAT(W$1:W$2,$P30),Table1!$I:$L,2,0)</f>
        <v>167232</v>
      </c>
      <c r="X30" s="9">
        <f>VLOOKUP(_xlfn.CONCAT(X$1:X$2,$P30),Table1!$I:$L,2,0)</f>
        <v>86579</v>
      </c>
      <c r="Y30" s="9">
        <f>VLOOKUP(_xlfn.CONCAT(Y$1:Y$2,$P30),Table1!$I:$L,2,0)</f>
        <v>43075</v>
      </c>
      <c r="Z30" s="9">
        <f>VLOOKUP(_xlfn.CONCAT(Z$1:Z$2,$P30),Table1!$I:$L,2,0)</f>
        <v>56998</v>
      </c>
      <c r="AA30" s="9">
        <f>VLOOKUP(_xlfn.CONCAT(AA$1:AA$2,$P30),Table1!$I:$L,2,0)</f>
        <v>55349</v>
      </c>
      <c r="AB30" s="9" t="e">
        <f>VLOOKUP(_xlfn.CONCAT(AB$1:AB$2,$P30),Table1!$I:$L,2,0)</f>
        <v>#N/A</v>
      </c>
      <c r="AC30" s="9">
        <f>VLOOKUP(_xlfn.CONCAT(AC$1:AC$2,$P30),Table1!$I:$L,2,0)</f>
        <v>39338</v>
      </c>
      <c r="AD30" s="9">
        <f>VLOOKUP(_xlfn.CONCAT(AD$1:AD$2,$P30),Table1!$I:$L,2,0)</f>
        <v>22733</v>
      </c>
      <c r="AE30" s="9">
        <f>VLOOKUP(_xlfn.CONCAT(AE$1:AE$2,$P30),Table1!$I:$L,2,0)</f>
        <v>3587403</v>
      </c>
      <c r="AF30" s="9">
        <f>VLOOKUP(_xlfn.CONCAT(AF$1:AF$2,$P30),Table1!$I:$L,2,0)</f>
        <v>119107</v>
      </c>
      <c r="AG30" s="9">
        <f>VLOOKUP(_xlfn.CONCAT(AG$1:AG$2,$P30),Table1!$I:$L,2,0)</f>
        <v>56199</v>
      </c>
      <c r="AH30" s="9">
        <f>VLOOKUP(_xlfn.CONCAT(AH$1:AH$2,$P30),Table1!$I:$L,2,0)</f>
        <v>8747</v>
      </c>
      <c r="AI30" s="9">
        <f>VLOOKUP(_xlfn.CONCAT(AI$1:AI$2,$P30),Table1!$I:$L,2,0)</f>
        <v>7020</v>
      </c>
    </row>
    <row r="31" spans="1:35" x14ac:dyDescent="0.25">
      <c r="A31" t="s">
        <v>85</v>
      </c>
      <c r="B31" t="s">
        <v>90</v>
      </c>
      <c r="C31" t="s">
        <v>99</v>
      </c>
      <c r="D31">
        <v>211012</v>
      </c>
      <c r="I31" s="13" t="str">
        <f t="shared" si="0"/>
        <v>TOPCROPCOTTONobs_n</v>
      </c>
      <c r="J31" s="13">
        <f t="shared" si="1"/>
        <v>211012</v>
      </c>
      <c r="K31" s="14" t="str">
        <f t="shared" si="2"/>
        <v>211012 (0)</v>
      </c>
      <c r="L31" s="14" t="str">
        <f t="shared" si="3"/>
        <v>211012.00 (0.00)</v>
      </c>
    </row>
    <row r="32" spans="1:35" x14ac:dyDescent="0.25">
      <c r="A32" t="s">
        <v>85</v>
      </c>
      <c r="B32" t="s">
        <v>91</v>
      </c>
      <c r="C32" t="s">
        <v>99</v>
      </c>
      <c r="D32">
        <v>18098</v>
      </c>
      <c r="I32" s="13" t="str">
        <f t="shared" ref="I32:I95" si="5">_xlfn.CONCAT(A32:C32)</f>
        <v>TOPCROPSUGAR BEETSobs_n</v>
      </c>
      <c r="J32" s="13">
        <f t="shared" si="1"/>
        <v>18098</v>
      </c>
      <c r="K32" s="14" t="str">
        <f t="shared" si="2"/>
        <v>18098 (0)</v>
      </c>
      <c r="L32" s="14" t="str">
        <f t="shared" si="3"/>
        <v>18098.00 (0.00)</v>
      </c>
    </row>
    <row r="33" spans="1:19" x14ac:dyDescent="0.25">
      <c r="A33" t="s">
        <v>85</v>
      </c>
      <c r="B33" t="s">
        <v>92</v>
      </c>
      <c r="C33" t="s">
        <v>99</v>
      </c>
      <c r="D33">
        <v>1075064</v>
      </c>
      <c r="I33" s="13" t="str">
        <f t="shared" si="5"/>
        <v>TOPCROPCORNobs_n</v>
      </c>
      <c r="J33" s="13">
        <f t="shared" si="1"/>
        <v>1075064</v>
      </c>
      <c r="K33" s="14" t="str">
        <f t="shared" si="2"/>
        <v>1075064 (0)</v>
      </c>
      <c r="L33" s="14" t="str">
        <f t="shared" si="3"/>
        <v>1075064.00 (0.00)</v>
      </c>
      <c r="R33" s="11"/>
    </row>
    <row r="34" spans="1:19" x14ac:dyDescent="0.25">
      <c r="A34" t="s">
        <v>85</v>
      </c>
      <c r="B34" t="s">
        <v>93</v>
      </c>
      <c r="C34" t="s">
        <v>99</v>
      </c>
      <c r="D34">
        <v>56998</v>
      </c>
      <c r="I34" s="13" t="str">
        <f t="shared" si="5"/>
        <v>TOPCROPDRY BEANSobs_n</v>
      </c>
      <c r="J34" s="13">
        <f t="shared" si="1"/>
        <v>56998</v>
      </c>
      <c r="K34" s="14" t="str">
        <f t="shared" si="2"/>
        <v>56998 (0)</v>
      </c>
      <c r="L34" s="14" t="str">
        <f t="shared" si="3"/>
        <v>56998.00 (0.00)</v>
      </c>
    </row>
    <row r="35" spans="1:19" x14ac:dyDescent="0.25">
      <c r="A35" t="s">
        <v>85</v>
      </c>
      <c r="B35" t="s">
        <v>94</v>
      </c>
      <c r="C35" t="s">
        <v>99</v>
      </c>
      <c r="D35">
        <v>167232</v>
      </c>
      <c r="I35" s="13" t="str">
        <f t="shared" si="5"/>
        <v>TOPCROPSORGHUMobs_n</v>
      </c>
      <c r="J35" s="13">
        <f t="shared" si="1"/>
        <v>167232</v>
      </c>
      <c r="K35" s="14" t="str">
        <f t="shared" si="2"/>
        <v>167232 (0)</v>
      </c>
      <c r="L35" s="14" t="str">
        <f t="shared" si="3"/>
        <v>167232.00 (0.00)</v>
      </c>
    </row>
    <row r="36" spans="1:19" x14ac:dyDescent="0.25">
      <c r="A36" t="s">
        <v>85</v>
      </c>
      <c r="B36" t="s">
        <v>95</v>
      </c>
      <c r="C36" t="s">
        <v>99</v>
      </c>
      <c r="D36">
        <v>39338</v>
      </c>
      <c r="I36" s="13" t="str">
        <f t="shared" si="5"/>
        <v>TOPCROPDRY PEASobs_n</v>
      </c>
      <c r="J36" s="13">
        <f t="shared" si="1"/>
        <v>39338</v>
      </c>
      <c r="K36" s="14" t="str">
        <f t="shared" si="2"/>
        <v>39338 (0)</v>
      </c>
      <c r="L36" s="14" t="str">
        <f t="shared" si="3"/>
        <v>39338.00 (0.00)</v>
      </c>
    </row>
    <row r="37" spans="1:19" x14ac:dyDescent="0.25">
      <c r="A37" t="s">
        <v>85</v>
      </c>
      <c r="B37" t="s">
        <v>96</v>
      </c>
      <c r="C37" t="s">
        <v>99</v>
      </c>
      <c r="D37">
        <v>55349</v>
      </c>
      <c r="I37" s="13" t="str">
        <f t="shared" si="5"/>
        <v>TOPCROPSUNFLOWERSobs_n</v>
      </c>
      <c r="J37" s="13">
        <f t="shared" si="1"/>
        <v>55349</v>
      </c>
      <c r="K37" s="14" t="str">
        <f t="shared" si="2"/>
        <v>55349 (0)</v>
      </c>
      <c r="L37" s="14" t="str">
        <f t="shared" si="3"/>
        <v>55349.00 (0.00)</v>
      </c>
    </row>
    <row r="38" spans="1:19" x14ac:dyDescent="0.25">
      <c r="A38" t="s">
        <v>85</v>
      </c>
      <c r="B38" t="s">
        <v>97</v>
      </c>
      <c r="C38" t="s">
        <v>99</v>
      </c>
      <c r="D38">
        <v>1017542</v>
      </c>
      <c r="I38" s="13" t="str">
        <f t="shared" si="5"/>
        <v>TOPCROPSOYBEANSobs_n</v>
      </c>
      <c r="J38" s="13">
        <f t="shared" si="1"/>
        <v>1017542</v>
      </c>
      <c r="K38" s="14" t="str">
        <f t="shared" si="2"/>
        <v>1017542 (0)</v>
      </c>
      <c r="L38" s="14" t="str">
        <f t="shared" si="3"/>
        <v>1017542.00 (0.00)</v>
      </c>
    </row>
    <row r="39" spans="1:19" x14ac:dyDescent="0.25">
      <c r="A39" t="s">
        <v>85</v>
      </c>
      <c r="B39" t="s">
        <v>98</v>
      </c>
      <c r="C39" t="s">
        <v>99</v>
      </c>
      <c r="D39">
        <v>86579</v>
      </c>
      <c r="I39" s="13" t="str">
        <f t="shared" si="5"/>
        <v>TOPCROPBARLEYobs_n</v>
      </c>
      <c r="J39" s="13">
        <f t="shared" si="1"/>
        <v>86579</v>
      </c>
      <c r="K39" s="14" t="str">
        <f t="shared" si="2"/>
        <v>86579 (0)</v>
      </c>
      <c r="L39" s="14" t="str">
        <f t="shared" si="3"/>
        <v>86579.00 (0.00)</v>
      </c>
    </row>
    <row r="40" spans="1:19" x14ac:dyDescent="0.25">
      <c r="A40" t="s">
        <v>77</v>
      </c>
      <c r="B40" t="s">
        <v>77</v>
      </c>
      <c r="C40" t="s">
        <v>100</v>
      </c>
      <c r="D40">
        <v>0.72559785268397903</v>
      </c>
      <c r="E40">
        <v>7.8965573965757194E-2</v>
      </c>
      <c r="I40" s="13" t="str">
        <f t="shared" si="5"/>
        <v>FCIPFCIPcoverage_level_percent</v>
      </c>
      <c r="J40" s="13">
        <f t="shared" si="1"/>
        <v>0.72559785268397903</v>
      </c>
      <c r="K40" s="14" t="str">
        <f t="shared" si="2"/>
        <v>1 (0)</v>
      </c>
      <c r="L40" s="14" t="str">
        <f t="shared" si="3"/>
        <v>0.73 (0.08)</v>
      </c>
    </row>
    <row r="41" spans="1:19" x14ac:dyDescent="0.25">
      <c r="A41" t="s">
        <v>79</v>
      </c>
      <c r="B41" t="s">
        <v>80</v>
      </c>
      <c r="C41" t="s">
        <v>100</v>
      </c>
      <c r="D41">
        <v>0.72681185209218502</v>
      </c>
      <c r="E41">
        <v>7.8438146247049201E-2</v>
      </c>
      <c r="I41" s="13" t="str">
        <f t="shared" si="5"/>
        <v>CGRPField Cropscoverage_level_percent</v>
      </c>
      <c r="J41" s="13">
        <f t="shared" si="1"/>
        <v>0.72681185209218502</v>
      </c>
      <c r="K41" s="14" t="str">
        <f t="shared" si="2"/>
        <v>1 (0)</v>
      </c>
      <c r="L41" s="14" t="str">
        <f t="shared" si="3"/>
        <v>0.73 (0.08)</v>
      </c>
      <c r="R41" s="11"/>
    </row>
    <row r="42" spans="1:19" x14ac:dyDescent="0.25">
      <c r="A42" t="s">
        <v>79</v>
      </c>
      <c r="B42" t="s">
        <v>81</v>
      </c>
      <c r="C42" t="s">
        <v>100</v>
      </c>
      <c r="D42">
        <v>0.66938270858047899</v>
      </c>
      <c r="E42">
        <v>8.0954096802789505E-2</v>
      </c>
      <c r="I42" s="13" t="str">
        <f t="shared" si="5"/>
        <v>CGRPNutscoverage_level_percent</v>
      </c>
      <c r="J42" s="13">
        <f t="shared" si="1"/>
        <v>0.66938270858047899</v>
      </c>
      <c r="K42" s="14" t="str">
        <f t="shared" si="2"/>
        <v>1 (0)</v>
      </c>
      <c r="L42" s="14" t="str">
        <f t="shared" si="3"/>
        <v>0.67 (0.08)</v>
      </c>
      <c r="R42" s="11"/>
      <c r="S42" s="12"/>
    </row>
    <row r="43" spans="1:19" x14ac:dyDescent="0.25">
      <c r="A43" t="s">
        <v>79</v>
      </c>
      <c r="B43" t="s">
        <v>82</v>
      </c>
      <c r="C43" t="s">
        <v>100</v>
      </c>
      <c r="D43">
        <v>0.59844922705037296</v>
      </c>
      <c r="E43">
        <v>8.6299103289658299E-2</v>
      </c>
      <c r="I43" s="13" t="str">
        <f t="shared" si="5"/>
        <v>CGRPForagescoverage_level_percent</v>
      </c>
      <c r="J43" s="13">
        <f t="shared" si="1"/>
        <v>0.59844922705037296</v>
      </c>
      <c r="K43" s="14" t="str">
        <f t="shared" si="2"/>
        <v>1 (0)</v>
      </c>
      <c r="L43" s="14" t="str">
        <f t="shared" si="3"/>
        <v>0.60 (0.09)</v>
      </c>
      <c r="R43" s="11"/>
      <c r="S43" s="12"/>
    </row>
    <row r="44" spans="1:19" x14ac:dyDescent="0.25">
      <c r="A44" t="s">
        <v>79</v>
      </c>
      <c r="B44" t="s">
        <v>83</v>
      </c>
      <c r="C44" t="s">
        <v>100</v>
      </c>
      <c r="D44">
        <v>0.62986247697194098</v>
      </c>
      <c r="E44">
        <v>8.6663301437373996E-2</v>
      </c>
      <c r="I44" s="13" t="str">
        <f t="shared" si="5"/>
        <v>CGRPFruitscoverage_level_percent</v>
      </c>
      <c r="J44" s="13">
        <f t="shared" si="1"/>
        <v>0.62986247697194098</v>
      </c>
      <c r="K44" s="14" t="str">
        <f t="shared" si="2"/>
        <v>1 (0)</v>
      </c>
      <c r="L44" s="14" t="str">
        <f t="shared" si="3"/>
        <v>0.63 (0.09)</v>
      </c>
      <c r="R44" s="11"/>
      <c r="S44" s="12"/>
    </row>
    <row r="45" spans="1:19" x14ac:dyDescent="0.25">
      <c r="A45" t="s">
        <v>79</v>
      </c>
      <c r="B45" t="s">
        <v>84</v>
      </c>
      <c r="C45" t="s">
        <v>100</v>
      </c>
      <c r="D45">
        <v>0.690806481543491</v>
      </c>
      <c r="E45">
        <v>7.0644727796603704E-2</v>
      </c>
      <c r="I45" s="13" t="str">
        <f t="shared" si="5"/>
        <v>CGRPVegetablescoverage_level_percent</v>
      </c>
      <c r="J45" s="13">
        <f t="shared" si="1"/>
        <v>0.690806481543491</v>
      </c>
      <c r="K45" s="14" t="str">
        <f t="shared" si="2"/>
        <v>1 (0)</v>
      </c>
      <c r="L45" s="14" t="str">
        <f t="shared" si="3"/>
        <v>0.69 (0.07)</v>
      </c>
      <c r="R45" s="11"/>
      <c r="S45" s="12"/>
    </row>
    <row r="46" spans="1:19" x14ac:dyDescent="0.25">
      <c r="A46" t="s">
        <v>85</v>
      </c>
      <c r="B46" t="s">
        <v>86</v>
      </c>
      <c r="C46" t="s">
        <v>100</v>
      </c>
      <c r="D46">
        <v>0.70325417066845497</v>
      </c>
      <c r="E46">
        <v>6.7488967965363605E-2</v>
      </c>
      <c r="I46" s="13" t="str">
        <f t="shared" si="5"/>
        <v>TOPCROPWHEATcoverage_level_percent</v>
      </c>
      <c r="J46" s="13">
        <f t="shared" si="1"/>
        <v>0.70325417066845497</v>
      </c>
      <c r="K46" s="14" t="str">
        <f t="shared" si="2"/>
        <v>1 (0)</v>
      </c>
      <c r="L46" s="14" t="str">
        <f t="shared" si="3"/>
        <v>0.70 (0.07)</v>
      </c>
      <c r="R46" s="11"/>
      <c r="S46" s="12"/>
    </row>
    <row r="47" spans="1:19" x14ac:dyDescent="0.25">
      <c r="A47" t="s">
        <v>85</v>
      </c>
      <c r="B47" t="s">
        <v>87</v>
      </c>
      <c r="C47" t="s">
        <v>100</v>
      </c>
      <c r="D47">
        <v>0.71348434954050399</v>
      </c>
      <c r="E47">
        <v>5.2697810810994901E-2</v>
      </c>
      <c r="I47" s="13" t="str">
        <f t="shared" si="5"/>
        <v>TOPCROPCANOLAcoverage_level_percent</v>
      </c>
      <c r="J47" s="13">
        <f t="shared" si="1"/>
        <v>0.71348434954050399</v>
      </c>
      <c r="K47" s="14" t="str">
        <f t="shared" si="2"/>
        <v>1 (0)</v>
      </c>
      <c r="L47" s="14" t="str">
        <f t="shared" si="3"/>
        <v>0.71 (0.05)</v>
      </c>
      <c r="R47" s="11"/>
      <c r="S47" s="12"/>
    </row>
    <row r="48" spans="1:19" x14ac:dyDescent="0.25">
      <c r="A48" t="s">
        <v>85</v>
      </c>
      <c r="B48" t="s">
        <v>88</v>
      </c>
      <c r="C48" t="s">
        <v>100</v>
      </c>
      <c r="D48">
        <v>0.65960753159069396</v>
      </c>
      <c r="E48">
        <v>8.3851023881818004E-2</v>
      </c>
      <c r="I48" s="13" t="str">
        <f t="shared" si="5"/>
        <v>TOPCROPOTHERcoverage_level_percent</v>
      </c>
      <c r="J48" s="13">
        <f t="shared" si="1"/>
        <v>0.65960753159069396</v>
      </c>
      <c r="K48" s="14" t="str">
        <f t="shared" si="2"/>
        <v>1 (0)</v>
      </c>
      <c r="L48" s="14" t="str">
        <f t="shared" si="3"/>
        <v>0.66 (0.08)</v>
      </c>
      <c r="R48" s="11"/>
      <c r="S48" s="12"/>
    </row>
    <row r="49" spans="1:19" x14ac:dyDescent="0.25">
      <c r="A49" t="s">
        <v>85</v>
      </c>
      <c r="B49" t="s">
        <v>89</v>
      </c>
      <c r="C49" t="s">
        <v>100</v>
      </c>
      <c r="D49">
        <v>0.68111793982381796</v>
      </c>
      <c r="E49">
        <v>0.10960461759378801</v>
      </c>
      <c r="I49" s="13" t="str">
        <f t="shared" si="5"/>
        <v>TOPCROPRICEcoverage_level_percent</v>
      </c>
      <c r="J49" s="13">
        <f t="shared" si="1"/>
        <v>0.68111793982381796</v>
      </c>
      <c r="K49" s="14" t="str">
        <f t="shared" si="2"/>
        <v>1 (0)</v>
      </c>
      <c r="L49" s="14" t="str">
        <f t="shared" si="3"/>
        <v>0.68 (0.11)</v>
      </c>
      <c r="R49" s="11"/>
      <c r="S49" s="12"/>
    </row>
    <row r="50" spans="1:19" x14ac:dyDescent="0.25">
      <c r="A50" t="s">
        <v>85</v>
      </c>
      <c r="B50" t="s">
        <v>90</v>
      </c>
      <c r="C50" t="s">
        <v>100</v>
      </c>
      <c r="D50">
        <v>0.66556564596266699</v>
      </c>
      <c r="E50">
        <v>7.9478958802497501E-2</v>
      </c>
      <c r="I50" s="13" t="str">
        <f t="shared" si="5"/>
        <v>TOPCROPCOTTONcoverage_level_percent</v>
      </c>
      <c r="J50" s="13">
        <f t="shared" si="1"/>
        <v>0.66556564596266699</v>
      </c>
      <c r="K50" s="14" t="str">
        <f t="shared" si="2"/>
        <v>1 (0)</v>
      </c>
      <c r="L50" s="14" t="str">
        <f t="shared" si="3"/>
        <v>0.67 (0.08)</v>
      </c>
      <c r="R50" s="11"/>
      <c r="S50" s="12"/>
    </row>
    <row r="51" spans="1:19" x14ac:dyDescent="0.25">
      <c r="A51" t="s">
        <v>85</v>
      </c>
      <c r="B51" t="s">
        <v>91</v>
      </c>
      <c r="C51" t="s">
        <v>100</v>
      </c>
      <c r="D51">
        <v>0.68840431221777598</v>
      </c>
      <c r="E51">
        <v>0.102101950675358</v>
      </c>
      <c r="I51" s="13" t="str">
        <f t="shared" si="5"/>
        <v>TOPCROPSUGAR BEETScoverage_level_percent</v>
      </c>
      <c r="J51" s="13">
        <f t="shared" si="1"/>
        <v>0.68840431221777598</v>
      </c>
      <c r="K51" s="14" t="str">
        <f t="shared" si="2"/>
        <v>1 (0)</v>
      </c>
      <c r="L51" s="14" t="str">
        <f t="shared" si="3"/>
        <v>0.69 (0.10)</v>
      </c>
      <c r="R51" s="11"/>
      <c r="S51" s="12"/>
    </row>
    <row r="52" spans="1:19" x14ac:dyDescent="0.25">
      <c r="A52" t="s">
        <v>85</v>
      </c>
      <c r="B52" t="s">
        <v>92</v>
      </c>
      <c r="C52" t="s">
        <v>100</v>
      </c>
      <c r="D52">
        <v>0.74627165541878204</v>
      </c>
      <c r="E52">
        <v>7.4198770585361395E-2</v>
      </c>
      <c r="I52" s="13" t="str">
        <f t="shared" si="5"/>
        <v>TOPCROPCORNcoverage_level_percent</v>
      </c>
      <c r="J52" s="13">
        <f t="shared" si="1"/>
        <v>0.74627165541878204</v>
      </c>
      <c r="K52" s="14" t="str">
        <f t="shared" si="2"/>
        <v>1 (0)</v>
      </c>
      <c r="L52" s="14" t="str">
        <f t="shared" si="3"/>
        <v>0.75 (0.07)</v>
      </c>
      <c r="R52" s="11"/>
      <c r="S52" s="12"/>
    </row>
    <row r="53" spans="1:19" x14ac:dyDescent="0.25">
      <c r="A53" t="s">
        <v>85</v>
      </c>
      <c r="B53" t="s">
        <v>93</v>
      </c>
      <c r="C53" t="s">
        <v>100</v>
      </c>
      <c r="D53">
        <v>0.69477928493730001</v>
      </c>
      <c r="E53">
        <v>6.4146995863568895E-2</v>
      </c>
      <c r="I53" s="13" t="str">
        <f t="shared" si="5"/>
        <v>TOPCROPDRY BEANScoverage_level_percent</v>
      </c>
      <c r="J53" s="13">
        <f t="shared" si="1"/>
        <v>0.69477928493730001</v>
      </c>
      <c r="K53" s="14" t="str">
        <f t="shared" si="2"/>
        <v>1 (0)</v>
      </c>
      <c r="L53" s="14" t="str">
        <f t="shared" si="3"/>
        <v>0.69 (0.06)</v>
      </c>
      <c r="R53" s="11"/>
      <c r="S53" s="12"/>
    </row>
    <row r="54" spans="1:19" x14ac:dyDescent="0.25">
      <c r="A54" t="s">
        <v>85</v>
      </c>
      <c r="B54" t="s">
        <v>94</v>
      </c>
      <c r="C54" t="s">
        <v>100</v>
      </c>
      <c r="D54">
        <v>0.67971937649737002</v>
      </c>
      <c r="E54">
        <v>6.7290374839116596E-2</v>
      </c>
      <c r="I54" s="13" t="str">
        <f t="shared" si="5"/>
        <v>TOPCROPSORGHUMcoverage_level_percent</v>
      </c>
      <c r="J54" s="13">
        <f t="shared" si="1"/>
        <v>0.67971937649737002</v>
      </c>
      <c r="K54" s="14" t="str">
        <f t="shared" si="2"/>
        <v>1 (0)</v>
      </c>
      <c r="L54" s="14" t="str">
        <f t="shared" si="3"/>
        <v>0.68 (0.07)</v>
      </c>
      <c r="R54" s="11"/>
      <c r="S54" s="12"/>
    </row>
    <row r="55" spans="1:19" x14ac:dyDescent="0.25">
      <c r="A55" t="s">
        <v>85</v>
      </c>
      <c r="B55" t="s">
        <v>95</v>
      </c>
      <c r="C55" t="s">
        <v>100</v>
      </c>
      <c r="D55">
        <v>0.69335093199670905</v>
      </c>
      <c r="E55">
        <v>6.9439678155372803E-2</v>
      </c>
      <c r="I55" s="13" t="str">
        <f t="shared" si="5"/>
        <v>TOPCROPDRY PEAScoverage_level_percent</v>
      </c>
      <c r="J55" s="13">
        <f t="shared" si="1"/>
        <v>0.69335093199670905</v>
      </c>
      <c r="K55" s="14" t="str">
        <f t="shared" si="2"/>
        <v>1 (0)</v>
      </c>
      <c r="L55" s="14" t="str">
        <f t="shared" si="3"/>
        <v>0.69 (0.07)</v>
      </c>
      <c r="R55" s="11"/>
      <c r="S55" s="12"/>
    </row>
    <row r="56" spans="1:19" x14ac:dyDescent="0.25">
      <c r="A56" t="s">
        <v>85</v>
      </c>
      <c r="B56" t="s">
        <v>96</v>
      </c>
      <c r="C56" t="s">
        <v>100</v>
      </c>
      <c r="D56">
        <v>0.68821168579524405</v>
      </c>
      <c r="E56">
        <v>5.9960744476951502E-2</v>
      </c>
      <c r="I56" s="13" t="str">
        <f t="shared" si="5"/>
        <v>TOPCROPSUNFLOWERScoverage_level_percent</v>
      </c>
      <c r="J56" s="13">
        <f t="shared" si="1"/>
        <v>0.68821168579524405</v>
      </c>
      <c r="K56" s="14" t="str">
        <f t="shared" si="2"/>
        <v>1 (0)</v>
      </c>
      <c r="L56" s="14" t="str">
        <f t="shared" si="3"/>
        <v>0.69 (0.06)</v>
      </c>
      <c r="R56" s="11"/>
      <c r="S56" s="12"/>
    </row>
    <row r="57" spans="1:19" x14ac:dyDescent="0.25">
      <c r="A57" t="s">
        <v>85</v>
      </c>
      <c r="B57" t="s">
        <v>97</v>
      </c>
      <c r="C57" t="s">
        <v>100</v>
      </c>
      <c r="D57">
        <v>0.740945218623562</v>
      </c>
      <c r="E57">
        <v>7.7447665149401601E-2</v>
      </c>
      <c r="I57" s="13" t="str">
        <f t="shared" si="5"/>
        <v>TOPCROPSOYBEANScoverage_level_percent</v>
      </c>
      <c r="J57" s="13">
        <f t="shared" si="1"/>
        <v>0.740945218623562</v>
      </c>
      <c r="K57" s="14" t="str">
        <f t="shared" si="2"/>
        <v>1 (0)</v>
      </c>
      <c r="L57" s="14" t="str">
        <f t="shared" si="3"/>
        <v>0.74 (0.08)</v>
      </c>
      <c r="R57" s="11"/>
      <c r="S57" s="12"/>
    </row>
    <row r="58" spans="1:19" x14ac:dyDescent="0.25">
      <c r="A58" t="s">
        <v>85</v>
      </c>
      <c r="B58" t="s">
        <v>98</v>
      </c>
      <c r="C58" t="s">
        <v>100</v>
      </c>
      <c r="D58">
        <v>0.71167263054402996</v>
      </c>
      <c r="E58">
        <v>6.6610310374037696E-2</v>
      </c>
      <c r="I58" s="13" t="str">
        <f t="shared" si="5"/>
        <v>TOPCROPBARLEYcoverage_level_percent</v>
      </c>
      <c r="J58" s="13">
        <f t="shared" si="1"/>
        <v>0.71167263054402996</v>
      </c>
      <c r="K58" s="14" t="str">
        <f t="shared" si="2"/>
        <v>1 (0)</v>
      </c>
      <c r="L58" s="14" t="str">
        <f t="shared" si="3"/>
        <v>0.71 (0.07)</v>
      </c>
      <c r="R58" s="11"/>
      <c r="S58" s="12"/>
    </row>
    <row r="59" spans="1:19" x14ac:dyDescent="0.25">
      <c r="A59" t="s">
        <v>77</v>
      </c>
      <c r="B59" t="s">
        <v>77</v>
      </c>
      <c r="C59" t="s">
        <v>101</v>
      </c>
      <c r="D59">
        <v>1281.4706898614099</v>
      </c>
      <c r="E59">
        <v>4308.33404888735</v>
      </c>
      <c r="I59" s="13" t="str">
        <f t="shared" si="5"/>
        <v>FCIPFCIPinsured_acres</v>
      </c>
      <c r="J59" s="13">
        <f t="shared" si="1"/>
        <v>1281.4706898614099</v>
      </c>
      <c r="K59" s="14" t="str">
        <f t="shared" si="2"/>
        <v>1281 (4308)</v>
      </c>
      <c r="L59" s="14" t="str">
        <f t="shared" si="3"/>
        <v>1281.47 (4308.33)</v>
      </c>
      <c r="R59" s="11"/>
      <c r="S59" s="12"/>
    </row>
    <row r="60" spans="1:19" x14ac:dyDescent="0.25">
      <c r="A60" t="s">
        <v>79</v>
      </c>
      <c r="B60" t="s">
        <v>80</v>
      </c>
      <c r="C60" t="s">
        <v>101</v>
      </c>
      <c r="D60">
        <v>1320.4958748003701</v>
      </c>
      <c r="E60">
        <v>4404.7925088950096</v>
      </c>
      <c r="I60" s="13" t="str">
        <f t="shared" si="5"/>
        <v>CGRPField Cropsinsured_acres</v>
      </c>
      <c r="J60" s="13">
        <f t="shared" si="1"/>
        <v>1320.4958748003701</v>
      </c>
      <c r="K60" s="14" t="str">
        <f t="shared" si="2"/>
        <v>1320 (4405)</v>
      </c>
      <c r="L60" s="14" t="str">
        <f t="shared" si="3"/>
        <v>1320.50 (4404.79)</v>
      </c>
      <c r="R60" s="11"/>
      <c r="S60" s="12"/>
    </row>
    <row r="61" spans="1:19" x14ac:dyDescent="0.25">
      <c r="A61" t="s">
        <v>79</v>
      </c>
      <c r="B61" t="s">
        <v>81</v>
      </c>
      <c r="C61" t="s">
        <v>101</v>
      </c>
      <c r="D61">
        <v>1579.7597133475799</v>
      </c>
      <c r="E61">
        <v>2755.92667643094</v>
      </c>
      <c r="I61" s="13" t="str">
        <f t="shared" si="5"/>
        <v>CGRPNutsinsured_acres</v>
      </c>
      <c r="J61" s="13">
        <f t="shared" si="1"/>
        <v>1579.7597133475799</v>
      </c>
      <c r="K61" s="14" t="str">
        <f t="shared" si="2"/>
        <v>1580 (2756)</v>
      </c>
      <c r="L61" s="14" t="str">
        <f t="shared" si="3"/>
        <v>1579.76 (2755.93)</v>
      </c>
      <c r="R61" s="11"/>
      <c r="S61" s="12"/>
    </row>
    <row r="62" spans="1:19" x14ac:dyDescent="0.25">
      <c r="A62" t="s">
        <v>79</v>
      </c>
      <c r="B62" t="s">
        <v>82</v>
      </c>
      <c r="C62" t="s">
        <v>101</v>
      </c>
      <c r="D62">
        <v>350.959868252104</v>
      </c>
      <c r="E62">
        <v>1023.79115935891</v>
      </c>
      <c r="I62" s="13" t="str">
        <f t="shared" si="5"/>
        <v>CGRPForagesinsured_acres</v>
      </c>
      <c r="J62" s="13">
        <f t="shared" si="1"/>
        <v>350.959868252104</v>
      </c>
      <c r="K62" s="14" t="str">
        <f t="shared" si="2"/>
        <v>351 (1024)</v>
      </c>
      <c r="L62" s="14" t="str">
        <f t="shared" si="3"/>
        <v>350.96 (1023.79)</v>
      </c>
    </row>
    <row r="63" spans="1:19" x14ac:dyDescent="0.25">
      <c r="A63" t="s">
        <v>79</v>
      </c>
      <c r="B63" t="s">
        <v>83</v>
      </c>
      <c r="C63" t="s">
        <v>101</v>
      </c>
      <c r="D63">
        <v>81.847502000685907</v>
      </c>
      <c r="E63">
        <v>191.76005415142899</v>
      </c>
      <c r="I63" s="13" t="str">
        <f t="shared" si="5"/>
        <v>CGRPFruitsinsured_acres</v>
      </c>
      <c r="J63" s="13">
        <f t="shared" si="1"/>
        <v>81.847502000685907</v>
      </c>
      <c r="K63" s="14" t="str">
        <f t="shared" si="2"/>
        <v>82 (192)</v>
      </c>
      <c r="L63" s="14" t="str">
        <f t="shared" si="3"/>
        <v>81.85 (191.76)</v>
      </c>
    </row>
    <row r="64" spans="1:19" x14ac:dyDescent="0.25">
      <c r="A64" t="s">
        <v>79</v>
      </c>
      <c r="B64" t="s">
        <v>84</v>
      </c>
      <c r="C64" t="s">
        <v>101</v>
      </c>
      <c r="D64">
        <v>615.63095934495902</v>
      </c>
      <c r="E64">
        <v>1584.2076514318001</v>
      </c>
      <c r="I64" s="13" t="str">
        <f t="shared" si="5"/>
        <v>CGRPVegetablesinsured_acres</v>
      </c>
      <c r="J64" s="13">
        <f t="shared" si="1"/>
        <v>615.63095934495902</v>
      </c>
      <c r="K64" s="14" t="str">
        <f t="shared" si="2"/>
        <v>616 (1584)</v>
      </c>
      <c r="L64" s="14" t="str">
        <f t="shared" si="3"/>
        <v>615.63 (1584.21)</v>
      </c>
    </row>
    <row r="65" spans="1:12" x14ac:dyDescent="0.25">
      <c r="A65" t="s">
        <v>85</v>
      </c>
      <c r="B65" t="s">
        <v>86</v>
      </c>
      <c r="C65" t="s">
        <v>101</v>
      </c>
      <c r="D65">
        <v>1398.3708632084199</v>
      </c>
      <c r="E65">
        <v>4965.8827194317601</v>
      </c>
      <c r="I65" s="13" t="str">
        <f t="shared" si="5"/>
        <v>TOPCROPWHEATinsured_acres</v>
      </c>
      <c r="J65" s="13">
        <f t="shared" si="1"/>
        <v>1398.3708632084199</v>
      </c>
      <c r="K65" s="14" t="str">
        <f t="shared" si="2"/>
        <v>1398 (4966)</v>
      </c>
      <c r="L65" s="14" t="str">
        <f t="shared" si="3"/>
        <v>1398.37 (4965.88)</v>
      </c>
    </row>
    <row r="66" spans="1:12" x14ac:dyDescent="0.25">
      <c r="A66" t="s">
        <v>85</v>
      </c>
      <c r="B66" t="s">
        <v>87</v>
      </c>
      <c r="C66" t="s">
        <v>101</v>
      </c>
      <c r="D66">
        <v>1682.0754141380401</v>
      </c>
      <c r="E66">
        <v>5777.8381838942896</v>
      </c>
      <c r="I66" s="13" t="str">
        <f t="shared" si="5"/>
        <v>TOPCROPCANOLAinsured_acres</v>
      </c>
      <c r="J66" s="13">
        <f t="shared" si="1"/>
        <v>1682.0754141380401</v>
      </c>
      <c r="K66" s="14" t="str">
        <f t="shared" si="2"/>
        <v>1682 (5778)</v>
      </c>
      <c r="L66" s="14" t="str">
        <f t="shared" si="3"/>
        <v>1682.08 (5777.84)</v>
      </c>
    </row>
    <row r="67" spans="1:12" x14ac:dyDescent="0.25">
      <c r="A67" t="s">
        <v>85</v>
      </c>
      <c r="B67" t="s">
        <v>88</v>
      </c>
      <c r="C67" t="s">
        <v>101</v>
      </c>
      <c r="D67">
        <v>407.56195326075101</v>
      </c>
      <c r="E67">
        <v>1116.7172265664301</v>
      </c>
      <c r="I67" s="13" t="str">
        <f t="shared" si="5"/>
        <v>TOPCROPOTHERinsured_acres</v>
      </c>
      <c r="J67" s="13">
        <f t="shared" ref="J67:J130" si="6">D67</f>
        <v>407.56195326075101</v>
      </c>
      <c r="K67" s="14" t="str">
        <f t="shared" ref="K67:K130" si="7">TEXT(D67,"0")&amp;" ("&amp;TEXT(E67,"0")&amp;")"</f>
        <v>408 (1117)</v>
      </c>
      <c r="L67" s="14" t="str">
        <f t="shared" ref="L67:L130" si="8">TEXT(D67,"0.00")&amp;" ("&amp;TEXT(E67,"0.00")&amp;")"</f>
        <v>407.56 (1116.72)</v>
      </c>
    </row>
    <row r="68" spans="1:12" x14ac:dyDescent="0.25">
      <c r="A68" t="s">
        <v>85</v>
      </c>
      <c r="B68" t="s">
        <v>89</v>
      </c>
      <c r="C68" t="s">
        <v>101</v>
      </c>
      <c r="D68">
        <v>935.43223930586203</v>
      </c>
      <c r="E68">
        <v>1858.5648946111501</v>
      </c>
      <c r="I68" s="13" t="str">
        <f t="shared" si="5"/>
        <v>TOPCROPRICEinsured_acres</v>
      </c>
      <c r="J68" s="13">
        <f t="shared" si="6"/>
        <v>935.43223930586203</v>
      </c>
      <c r="K68" s="14" t="str">
        <f t="shared" si="7"/>
        <v>935 (1859)</v>
      </c>
      <c r="L68" s="14" t="str">
        <f t="shared" si="8"/>
        <v>935.43 (1858.56)</v>
      </c>
    </row>
    <row r="69" spans="1:12" x14ac:dyDescent="0.25">
      <c r="A69" t="s">
        <v>85</v>
      </c>
      <c r="B69" t="s">
        <v>90</v>
      </c>
      <c r="C69" t="s">
        <v>101</v>
      </c>
      <c r="D69">
        <v>1129.71772903958</v>
      </c>
      <c r="E69">
        <v>3388.3940356084199</v>
      </c>
      <c r="I69" s="13" t="str">
        <f t="shared" si="5"/>
        <v>TOPCROPCOTTONinsured_acres</v>
      </c>
      <c r="J69" s="13">
        <f t="shared" si="6"/>
        <v>1129.71772903958</v>
      </c>
      <c r="K69" s="14" t="str">
        <f t="shared" si="7"/>
        <v>1130 (3388)</v>
      </c>
      <c r="L69" s="14" t="str">
        <f t="shared" si="8"/>
        <v>1129.72 (3388.39)</v>
      </c>
    </row>
    <row r="70" spans="1:12" x14ac:dyDescent="0.25">
      <c r="A70" t="s">
        <v>85</v>
      </c>
      <c r="B70" t="s">
        <v>91</v>
      </c>
      <c r="C70" t="s">
        <v>101</v>
      </c>
      <c r="D70">
        <v>1359.33986261465</v>
      </c>
      <c r="E70">
        <v>2821.50607846087</v>
      </c>
      <c r="I70" s="13" t="str">
        <f t="shared" si="5"/>
        <v>TOPCROPSUGAR BEETSinsured_acres</v>
      </c>
      <c r="J70" s="13">
        <f t="shared" si="6"/>
        <v>1359.33986261465</v>
      </c>
      <c r="K70" s="14" t="str">
        <f t="shared" si="7"/>
        <v>1359 (2822)</v>
      </c>
      <c r="L70" s="14" t="str">
        <f t="shared" si="8"/>
        <v>1359.34 (2821.51)</v>
      </c>
    </row>
    <row r="71" spans="1:12" x14ac:dyDescent="0.25">
      <c r="A71" t="s">
        <v>85</v>
      </c>
      <c r="B71" t="s">
        <v>92</v>
      </c>
      <c r="C71" t="s">
        <v>101</v>
      </c>
      <c r="D71">
        <v>1532.37723267769</v>
      </c>
      <c r="E71">
        <v>4892.4608543125196</v>
      </c>
      <c r="I71" s="13" t="str">
        <f t="shared" si="5"/>
        <v>TOPCROPCORNinsured_acres</v>
      </c>
      <c r="J71" s="13">
        <f t="shared" si="6"/>
        <v>1532.37723267769</v>
      </c>
      <c r="K71" s="14" t="str">
        <f t="shared" si="7"/>
        <v>1532 (4892)</v>
      </c>
      <c r="L71" s="14" t="str">
        <f t="shared" si="8"/>
        <v>1532.38 (4892.46)</v>
      </c>
    </row>
    <row r="72" spans="1:12" x14ac:dyDescent="0.25">
      <c r="A72" t="s">
        <v>85</v>
      </c>
      <c r="B72" t="s">
        <v>93</v>
      </c>
      <c r="C72" t="s">
        <v>101</v>
      </c>
      <c r="D72">
        <v>509.449808637145</v>
      </c>
      <c r="E72">
        <v>1360.8342613866801</v>
      </c>
      <c r="I72" s="13" t="str">
        <f t="shared" si="5"/>
        <v>TOPCROPDRY BEANSinsured_acres</v>
      </c>
      <c r="J72" s="13">
        <f t="shared" si="6"/>
        <v>509.449808637145</v>
      </c>
      <c r="K72" s="14" t="str">
        <f t="shared" si="7"/>
        <v>509 (1361)</v>
      </c>
      <c r="L72" s="14" t="str">
        <f t="shared" si="8"/>
        <v>509.45 (1360.83)</v>
      </c>
    </row>
    <row r="73" spans="1:12" x14ac:dyDescent="0.25">
      <c r="A73" t="s">
        <v>85</v>
      </c>
      <c r="B73" t="s">
        <v>94</v>
      </c>
      <c r="C73" t="s">
        <v>101</v>
      </c>
      <c r="D73">
        <v>713.66270168197502</v>
      </c>
      <c r="E73">
        <v>1948.32580865772</v>
      </c>
      <c r="I73" s="13" t="str">
        <f t="shared" si="5"/>
        <v>TOPCROPSORGHUMinsured_acres</v>
      </c>
      <c r="J73" s="13">
        <f t="shared" si="6"/>
        <v>713.66270168197502</v>
      </c>
      <c r="K73" s="14" t="str">
        <f t="shared" si="7"/>
        <v>714 (1948)</v>
      </c>
      <c r="L73" s="14" t="str">
        <f t="shared" si="8"/>
        <v>713.66 (1948.33)</v>
      </c>
    </row>
    <row r="74" spans="1:12" x14ac:dyDescent="0.25">
      <c r="A74" t="s">
        <v>85</v>
      </c>
      <c r="B74" t="s">
        <v>95</v>
      </c>
      <c r="C74" t="s">
        <v>101</v>
      </c>
      <c r="D74">
        <v>824.54309433880701</v>
      </c>
      <c r="E74">
        <v>1935.2669628793401</v>
      </c>
      <c r="I74" s="13" t="str">
        <f t="shared" si="5"/>
        <v>TOPCROPDRY PEASinsured_acres</v>
      </c>
      <c r="J74" s="13">
        <f t="shared" si="6"/>
        <v>824.54309433880701</v>
      </c>
      <c r="K74" s="14" t="str">
        <f t="shared" si="7"/>
        <v>825 (1935)</v>
      </c>
      <c r="L74" s="14" t="str">
        <f t="shared" si="8"/>
        <v>824.54 (1935.27)</v>
      </c>
    </row>
    <row r="75" spans="1:12" x14ac:dyDescent="0.25">
      <c r="A75" t="s">
        <v>85</v>
      </c>
      <c r="B75" t="s">
        <v>96</v>
      </c>
      <c r="C75" t="s">
        <v>101</v>
      </c>
      <c r="D75">
        <v>723.07336437857998</v>
      </c>
      <c r="E75">
        <v>1696.0642334121101</v>
      </c>
      <c r="I75" s="13" t="str">
        <f t="shared" si="5"/>
        <v>TOPCROPSUNFLOWERSinsured_acres</v>
      </c>
      <c r="J75" s="13">
        <f t="shared" si="6"/>
        <v>723.07336437857998</v>
      </c>
      <c r="K75" s="14" t="str">
        <f t="shared" si="7"/>
        <v>723 (1696)</v>
      </c>
      <c r="L75" s="14" t="str">
        <f t="shared" si="8"/>
        <v>723.07 (1696.06)</v>
      </c>
    </row>
    <row r="76" spans="1:12" x14ac:dyDescent="0.25">
      <c r="A76" t="s">
        <v>85</v>
      </c>
      <c r="B76" t="s">
        <v>97</v>
      </c>
      <c r="C76" t="s">
        <v>101</v>
      </c>
      <c r="D76">
        <v>1453.2141503314899</v>
      </c>
      <c r="E76">
        <v>4598.2213136731598</v>
      </c>
      <c r="I76" s="13" t="str">
        <f t="shared" si="5"/>
        <v>TOPCROPSOYBEANSinsured_acres</v>
      </c>
      <c r="J76" s="13">
        <f t="shared" si="6"/>
        <v>1453.2141503314899</v>
      </c>
      <c r="K76" s="14" t="str">
        <f t="shared" si="7"/>
        <v>1453 (4598)</v>
      </c>
      <c r="L76" s="14" t="str">
        <f t="shared" si="8"/>
        <v>1453.21 (4598.22)</v>
      </c>
    </row>
    <row r="77" spans="1:12" x14ac:dyDescent="0.25">
      <c r="A77" t="s">
        <v>85</v>
      </c>
      <c r="B77" t="s">
        <v>98</v>
      </c>
      <c r="C77" t="s">
        <v>101</v>
      </c>
      <c r="D77">
        <v>670.79992184594403</v>
      </c>
      <c r="E77">
        <v>1725.6699597259101</v>
      </c>
      <c r="I77" s="13" t="str">
        <f t="shared" si="5"/>
        <v>TOPCROPBARLEYinsured_acres</v>
      </c>
      <c r="J77" s="13">
        <f t="shared" si="6"/>
        <v>670.79992184594403</v>
      </c>
      <c r="K77" s="14" t="str">
        <f t="shared" si="7"/>
        <v>671 (1726)</v>
      </c>
      <c r="L77" s="14" t="str">
        <f t="shared" si="8"/>
        <v>670.80 (1725.67)</v>
      </c>
    </row>
    <row r="78" spans="1:12" x14ac:dyDescent="0.25">
      <c r="A78" t="s">
        <v>77</v>
      </c>
      <c r="B78" t="s">
        <v>77</v>
      </c>
      <c r="C78" t="s">
        <v>102</v>
      </c>
      <c r="D78">
        <v>481.81458909412203</v>
      </c>
      <c r="E78">
        <v>2133.5007400130098</v>
      </c>
      <c r="I78" s="13" t="str">
        <f t="shared" si="5"/>
        <v>FCIPFCIPliability_amt</v>
      </c>
      <c r="J78" s="13">
        <f t="shared" si="6"/>
        <v>481.81458909412203</v>
      </c>
      <c r="K78" s="14" t="str">
        <f t="shared" si="7"/>
        <v>482 (2134)</v>
      </c>
      <c r="L78" s="14" t="str">
        <f t="shared" si="8"/>
        <v>481.81 (2133.50)</v>
      </c>
    </row>
    <row r="79" spans="1:12" x14ac:dyDescent="0.25">
      <c r="A79" t="s">
        <v>79</v>
      </c>
      <c r="B79" t="s">
        <v>80</v>
      </c>
      <c r="C79" t="s">
        <v>102</v>
      </c>
      <c r="D79">
        <v>487.44535109827399</v>
      </c>
      <c r="E79">
        <v>2116.17084956801</v>
      </c>
      <c r="I79" s="13" t="str">
        <f t="shared" si="5"/>
        <v>CGRPField Cropsliability_amt</v>
      </c>
      <c r="J79" s="13">
        <f t="shared" si="6"/>
        <v>487.44535109827399</v>
      </c>
      <c r="K79" s="14" t="str">
        <f t="shared" si="7"/>
        <v>487 (2116)</v>
      </c>
      <c r="L79" s="14" t="str">
        <f t="shared" si="8"/>
        <v>487.45 (2116.17)</v>
      </c>
    </row>
    <row r="80" spans="1:12" x14ac:dyDescent="0.25">
      <c r="A80" t="s">
        <v>79</v>
      </c>
      <c r="B80" t="s">
        <v>81</v>
      </c>
      <c r="C80" t="s">
        <v>102</v>
      </c>
      <c r="D80">
        <v>4693.8036367521399</v>
      </c>
      <c r="E80">
        <v>10392.548594923101</v>
      </c>
      <c r="I80" s="13" t="str">
        <f t="shared" si="5"/>
        <v>CGRPNutsliability_amt</v>
      </c>
      <c r="J80" s="13">
        <f t="shared" si="6"/>
        <v>4693.8036367521399</v>
      </c>
      <c r="K80" s="14" t="str">
        <f t="shared" si="7"/>
        <v>4694 (10393)</v>
      </c>
      <c r="L80" s="14" t="str">
        <f t="shared" si="8"/>
        <v>4693.80 (10392.55)</v>
      </c>
    </row>
    <row r="81" spans="1:12" x14ac:dyDescent="0.25">
      <c r="A81" t="s">
        <v>79</v>
      </c>
      <c r="B81" t="s">
        <v>82</v>
      </c>
      <c r="C81" t="s">
        <v>102</v>
      </c>
      <c r="D81">
        <v>67.308428121496803</v>
      </c>
      <c r="E81">
        <v>279.60678122171203</v>
      </c>
      <c r="I81" s="13" t="str">
        <f t="shared" si="5"/>
        <v>CGRPForagesliability_amt</v>
      </c>
      <c r="J81" s="13">
        <f t="shared" si="6"/>
        <v>67.308428121496803</v>
      </c>
      <c r="K81" s="14" t="str">
        <f t="shared" si="7"/>
        <v>67 (280)</v>
      </c>
      <c r="L81" s="14" t="str">
        <f t="shared" si="8"/>
        <v>67.31 (279.61)</v>
      </c>
    </row>
    <row r="82" spans="1:12" x14ac:dyDescent="0.25">
      <c r="A82" t="s">
        <v>79</v>
      </c>
      <c r="B82" t="s">
        <v>83</v>
      </c>
      <c r="C82" t="s">
        <v>102</v>
      </c>
      <c r="D82">
        <v>295.10663427460798</v>
      </c>
      <c r="E82">
        <v>843.64751064325196</v>
      </c>
      <c r="I82" s="13" t="str">
        <f t="shared" si="5"/>
        <v>CGRPFruitsliability_amt</v>
      </c>
      <c r="J82" s="13">
        <f t="shared" si="6"/>
        <v>295.10663427460798</v>
      </c>
      <c r="K82" s="14" t="str">
        <f t="shared" si="7"/>
        <v>295 (844)</v>
      </c>
      <c r="L82" s="14" t="str">
        <f t="shared" si="8"/>
        <v>295.11 (843.65)</v>
      </c>
    </row>
    <row r="83" spans="1:12" x14ac:dyDescent="0.25">
      <c r="A83" t="s">
        <v>79</v>
      </c>
      <c r="B83" t="s">
        <v>84</v>
      </c>
      <c r="C83" t="s">
        <v>102</v>
      </c>
      <c r="D83">
        <v>273.26253590469099</v>
      </c>
      <c r="E83">
        <v>1375.74310404384</v>
      </c>
      <c r="I83" s="13" t="str">
        <f t="shared" si="5"/>
        <v>CGRPVegetablesliability_amt</v>
      </c>
      <c r="J83" s="13">
        <f t="shared" si="6"/>
        <v>273.26253590469099</v>
      </c>
      <c r="K83" s="14" t="str">
        <f t="shared" si="7"/>
        <v>273 (1376)</v>
      </c>
      <c r="L83" s="14" t="str">
        <f t="shared" si="8"/>
        <v>273.26 (1375.74)</v>
      </c>
    </row>
    <row r="84" spans="1:12" x14ac:dyDescent="0.25">
      <c r="A84" t="s">
        <v>85</v>
      </c>
      <c r="B84" t="s">
        <v>86</v>
      </c>
      <c r="C84" t="s">
        <v>102</v>
      </c>
      <c r="D84">
        <v>241.612368721091</v>
      </c>
      <c r="E84">
        <v>1054.11820590147</v>
      </c>
      <c r="I84" s="13" t="str">
        <f t="shared" si="5"/>
        <v>TOPCROPWHEATliability_amt</v>
      </c>
      <c r="J84" s="13">
        <f t="shared" si="6"/>
        <v>241.612368721091</v>
      </c>
      <c r="K84" s="14" t="str">
        <f t="shared" si="7"/>
        <v>242 (1054)</v>
      </c>
      <c r="L84" s="14" t="str">
        <f t="shared" si="8"/>
        <v>241.61 (1054.12)</v>
      </c>
    </row>
    <row r="85" spans="1:12" x14ac:dyDescent="0.25">
      <c r="A85" t="s">
        <v>85</v>
      </c>
      <c r="B85" t="s">
        <v>87</v>
      </c>
      <c r="C85" t="s">
        <v>102</v>
      </c>
      <c r="D85">
        <v>364.11894857695899</v>
      </c>
      <c r="E85">
        <v>1585.2254979028301</v>
      </c>
      <c r="I85" s="13" t="str">
        <f t="shared" si="5"/>
        <v>TOPCROPCANOLAliability_amt</v>
      </c>
      <c r="J85" s="13">
        <f t="shared" si="6"/>
        <v>364.11894857695899</v>
      </c>
      <c r="K85" s="14" t="str">
        <f t="shared" si="7"/>
        <v>364 (1585)</v>
      </c>
      <c r="L85" s="14" t="str">
        <f t="shared" si="8"/>
        <v>364.12 (1585.23)</v>
      </c>
    </row>
    <row r="86" spans="1:12" x14ac:dyDescent="0.25">
      <c r="A86" t="s">
        <v>85</v>
      </c>
      <c r="B86" t="s">
        <v>88</v>
      </c>
      <c r="C86" t="s">
        <v>102</v>
      </c>
      <c r="D86">
        <v>360.025633285997</v>
      </c>
      <c r="E86">
        <v>2122.2471906333699</v>
      </c>
      <c r="I86" s="13" t="str">
        <f t="shared" si="5"/>
        <v>TOPCROPOTHERliability_amt</v>
      </c>
      <c r="J86" s="13">
        <f t="shared" si="6"/>
        <v>360.025633285997</v>
      </c>
      <c r="K86" s="14" t="str">
        <f t="shared" si="7"/>
        <v>360 (2122)</v>
      </c>
      <c r="L86" s="14" t="str">
        <f t="shared" si="8"/>
        <v>360.03 (2122.25)</v>
      </c>
    </row>
    <row r="87" spans="1:12" x14ac:dyDescent="0.25">
      <c r="A87" t="s">
        <v>85</v>
      </c>
      <c r="B87" t="s">
        <v>89</v>
      </c>
      <c r="C87" t="s">
        <v>102</v>
      </c>
      <c r="D87">
        <v>642.45969850261201</v>
      </c>
      <c r="E87">
        <v>1940.82584037983</v>
      </c>
      <c r="I87" s="13" t="str">
        <f t="shared" si="5"/>
        <v>TOPCROPRICEliability_amt</v>
      </c>
      <c r="J87" s="13">
        <f t="shared" si="6"/>
        <v>642.45969850261201</v>
      </c>
      <c r="K87" s="14" t="str">
        <f t="shared" si="7"/>
        <v>642 (1941)</v>
      </c>
      <c r="L87" s="14" t="str">
        <f t="shared" si="8"/>
        <v>642.46 (1940.83)</v>
      </c>
    </row>
    <row r="88" spans="1:12" x14ac:dyDescent="0.25">
      <c r="A88" t="s">
        <v>85</v>
      </c>
      <c r="B88" t="s">
        <v>90</v>
      </c>
      <c r="C88" t="s">
        <v>102</v>
      </c>
      <c r="D88">
        <v>419.94363922904898</v>
      </c>
      <c r="E88">
        <v>1416.8612441632099</v>
      </c>
      <c r="I88" s="13" t="str">
        <f t="shared" si="5"/>
        <v>TOPCROPCOTTONliability_amt</v>
      </c>
      <c r="J88" s="13">
        <f t="shared" si="6"/>
        <v>419.94363922904898</v>
      </c>
      <c r="K88" s="14" t="str">
        <f t="shared" si="7"/>
        <v>420 (1417)</v>
      </c>
      <c r="L88" s="14" t="str">
        <f t="shared" si="8"/>
        <v>419.94 (1416.86)</v>
      </c>
    </row>
    <row r="89" spans="1:12" x14ac:dyDescent="0.25">
      <c r="A89" t="s">
        <v>85</v>
      </c>
      <c r="B89" t="s">
        <v>91</v>
      </c>
      <c r="C89" t="s">
        <v>102</v>
      </c>
      <c r="D89">
        <v>1132.5162709139099</v>
      </c>
      <c r="E89">
        <v>2571.8898121858902</v>
      </c>
      <c r="I89" s="13" t="str">
        <f t="shared" si="5"/>
        <v>TOPCROPSUGAR BEETSliability_amt</v>
      </c>
      <c r="J89" s="13">
        <f t="shared" si="6"/>
        <v>1132.5162709139099</v>
      </c>
      <c r="K89" s="14" t="str">
        <f t="shared" si="7"/>
        <v>1133 (2572)</v>
      </c>
      <c r="L89" s="14" t="str">
        <f t="shared" si="8"/>
        <v>1132.52 (2571.89)</v>
      </c>
    </row>
    <row r="90" spans="1:12" x14ac:dyDescent="0.25">
      <c r="A90" t="s">
        <v>85</v>
      </c>
      <c r="B90" t="s">
        <v>92</v>
      </c>
      <c r="C90" t="s">
        <v>102</v>
      </c>
      <c r="D90">
        <v>785.66836405088395</v>
      </c>
      <c r="E90">
        <v>3152.37779322199</v>
      </c>
      <c r="I90" s="13" t="str">
        <f t="shared" si="5"/>
        <v>TOPCROPCORNliability_amt</v>
      </c>
      <c r="J90" s="13">
        <f t="shared" si="6"/>
        <v>785.66836405088395</v>
      </c>
      <c r="K90" s="14" t="str">
        <f t="shared" si="7"/>
        <v>786 (3152)</v>
      </c>
      <c r="L90" s="14" t="str">
        <f t="shared" si="8"/>
        <v>785.67 (3152.38)</v>
      </c>
    </row>
    <row r="91" spans="1:12" x14ac:dyDescent="0.25">
      <c r="A91" t="s">
        <v>85</v>
      </c>
      <c r="B91" t="s">
        <v>93</v>
      </c>
      <c r="C91" t="s">
        <v>102</v>
      </c>
      <c r="D91">
        <v>184.905333555563</v>
      </c>
      <c r="E91">
        <v>483.649264974998</v>
      </c>
      <c r="I91" s="13" t="str">
        <f t="shared" si="5"/>
        <v>TOPCROPDRY BEANSliability_amt</v>
      </c>
      <c r="J91" s="13">
        <f t="shared" si="6"/>
        <v>184.905333555563</v>
      </c>
      <c r="K91" s="14" t="str">
        <f t="shared" si="7"/>
        <v>185 (484)</v>
      </c>
      <c r="L91" s="14" t="str">
        <f t="shared" si="8"/>
        <v>184.91 (483.65)</v>
      </c>
    </row>
    <row r="92" spans="1:12" x14ac:dyDescent="0.25">
      <c r="A92" t="s">
        <v>85</v>
      </c>
      <c r="B92" t="s">
        <v>94</v>
      </c>
      <c r="C92" t="s">
        <v>102</v>
      </c>
      <c r="D92">
        <v>120.11747520809401</v>
      </c>
      <c r="E92">
        <v>384.81448216436098</v>
      </c>
      <c r="I92" s="13" t="str">
        <f t="shared" si="5"/>
        <v>TOPCROPSORGHUMliability_amt</v>
      </c>
      <c r="J92" s="13">
        <f t="shared" si="6"/>
        <v>120.11747520809401</v>
      </c>
      <c r="K92" s="14" t="str">
        <f t="shared" si="7"/>
        <v>120 (385)</v>
      </c>
      <c r="L92" s="14" t="str">
        <f t="shared" si="8"/>
        <v>120.12 (384.81)</v>
      </c>
    </row>
    <row r="93" spans="1:12" x14ac:dyDescent="0.25">
      <c r="A93" t="s">
        <v>85</v>
      </c>
      <c r="B93" t="s">
        <v>95</v>
      </c>
      <c r="C93" t="s">
        <v>102</v>
      </c>
      <c r="D93">
        <v>162.20507666886999</v>
      </c>
      <c r="E93">
        <v>406.00645651443102</v>
      </c>
      <c r="I93" s="13" t="str">
        <f t="shared" si="5"/>
        <v>TOPCROPDRY PEASliability_amt</v>
      </c>
      <c r="J93" s="13">
        <f t="shared" si="6"/>
        <v>162.20507666886999</v>
      </c>
      <c r="K93" s="14" t="str">
        <f t="shared" si="7"/>
        <v>162 (406)</v>
      </c>
      <c r="L93" s="14" t="str">
        <f t="shared" si="8"/>
        <v>162.21 (406.01)</v>
      </c>
    </row>
    <row r="94" spans="1:12" x14ac:dyDescent="0.25">
      <c r="A94" t="s">
        <v>85</v>
      </c>
      <c r="B94" t="s">
        <v>96</v>
      </c>
      <c r="C94" t="s">
        <v>102</v>
      </c>
      <c r="D94">
        <v>137.16611517823301</v>
      </c>
      <c r="E94">
        <v>429.43352476865402</v>
      </c>
      <c r="I94" s="13" t="str">
        <f t="shared" si="5"/>
        <v>TOPCROPSUNFLOWERSliability_amt</v>
      </c>
      <c r="J94" s="13">
        <f t="shared" si="6"/>
        <v>137.16611517823301</v>
      </c>
      <c r="K94" s="14" t="str">
        <f t="shared" si="7"/>
        <v>137 (429)</v>
      </c>
      <c r="L94" s="14" t="str">
        <f t="shared" si="8"/>
        <v>137.17 (429.43)</v>
      </c>
    </row>
    <row r="95" spans="1:12" x14ac:dyDescent="0.25">
      <c r="A95" t="s">
        <v>85</v>
      </c>
      <c r="B95" t="s">
        <v>97</v>
      </c>
      <c r="C95" t="s">
        <v>102</v>
      </c>
      <c r="D95">
        <v>496.60657630545001</v>
      </c>
      <c r="E95">
        <v>1834.3662302273999</v>
      </c>
      <c r="I95" s="13" t="str">
        <f t="shared" si="5"/>
        <v>TOPCROPSOYBEANSliability_amt</v>
      </c>
      <c r="J95" s="13">
        <f t="shared" si="6"/>
        <v>496.60657630545001</v>
      </c>
      <c r="K95" s="14" t="str">
        <f t="shared" si="7"/>
        <v>497 (1834)</v>
      </c>
      <c r="L95" s="14" t="str">
        <f t="shared" si="8"/>
        <v>496.61 (1834.37)</v>
      </c>
    </row>
    <row r="96" spans="1:12" x14ac:dyDescent="0.25">
      <c r="A96" t="s">
        <v>85</v>
      </c>
      <c r="B96" t="s">
        <v>98</v>
      </c>
      <c r="C96" t="s">
        <v>102</v>
      </c>
      <c r="D96">
        <v>104.33666654731501</v>
      </c>
      <c r="E96">
        <v>298.19087697714599</v>
      </c>
      <c r="I96" s="13" t="str">
        <f t="shared" ref="I96:I159" si="9">_xlfn.CONCAT(A96:C96)</f>
        <v>TOPCROPBARLEYliability_amt</v>
      </c>
      <c r="J96" s="13">
        <f t="shared" si="6"/>
        <v>104.33666654731501</v>
      </c>
      <c r="K96" s="14" t="str">
        <f t="shared" si="7"/>
        <v>104 (298)</v>
      </c>
      <c r="L96" s="14" t="str">
        <f t="shared" si="8"/>
        <v>104.34 (298.19)</v>
      </c>
    </row>
    <row r="97" spans="1:12" x14ac:dyDescent="0.25">
      <c r="A97" t="s">
        <v>77</v>
      </c>
      <c r="B97" t="s">
        <v>77</v>
      </c>
      <c r="C97" t="s">
        <v>103</v>
      </c>
      <c r="D97">
        <v>49.089902444265903</v>
      </c>
      <c r="E97">
        <v>211.81386891781</v>
      </c>
      <c r="I97" s="13" t="str">
        <f t="shared" si="9"/>
        <v>FCIPFCIPtotal_prem</v>
      </c>
      <c r="J97" s="13">
        <f t="shared" si="6"/>
        <v>49.089902444265903</v>
      </c>
      <c r="K97" s="14" t="str">
        <f t="shared" si="7"/>
        <v>49 (212)</v>
      </c>
      <c r="L97" s="14" t="str">
        <f t="shared" si="8"/>
        <v>49.09 (211.81)</v>
      </c>
    </row>
    <row r="98" spans="1:12" x14ac:dyDescent="0.25">
      <c r="A98" t="s">
        <v>79</v>
      </c>
      <c r="B98" t="s">
        <v>80</v>
      </c>
      <c r="C98" t="s">
        <v>103</v>
      </c>
      <c r="D98">
        <v>50.081446702809799</v>
      </c>
      <c r="E98">
        <v>215.30461043175401</v>
      </c>
      <c r="I98" s="13" t="str">
        <f t="shared" si="9"/>
        <v>CGRPField Cropstotal_prem</v>
      </c>
      <c r="J98" s="13">
        <f t="shared" si="6"/>
        <v>50.081446702809799</v>
      </c>
      <c r="K98" s="14" t="str">
        <f t="shared" si="7"/>
        <v>50 (215)</v>
      </c>
      <c r="L98" s="14" t="str">
        <f t="shared" si="8"/>
        <v>50.08 (215.30)</v>
      </c>
    </row>
    <row r="99" spans="1:12" x14ac:dyDescent="0.25">
      <c r="A99" t="s">
        <v>79</v>
      </c>
      <c r="B99" t="s">
        <v>81</v>
      </c>
      <c r="C99" t="s">
        <v>103</v>
      </c>
      <c r="D99">
        <v>190.847658689459</v>
      </c>
      <c r="E99">
        <v>461.53772973059699</v>
      </c>
      <c r="I99" s="13" t="str">
        <f t="shared" si="9"/>
        <v>CGRPNutstotal_prem</v>
      </c>
      <c r="J99" s="13">
        <f t="shared" si="6"/>
        <v>190.847658689459</v>
      </c>
      <c r="K99" s="14" t="str">
        <f t="shared" si="7"/>
        <v>191 (462)</v>
      </c>
      <c r="L99" s="14" t="str">
        <f t="shared" si="8"/>
        <v>190.85 (461.54)</v>
      </c>
    </row>
    <row r="100" spans="1:12" x14ac:dyDescent="0.25">
      <c r="A100" t="s">
        <v>79</v>
      </c>
      <c r="B100" t="s">
        <v>82</v>
      </c>
      <c r="C100" t="s">
        <v>103</v>
      </c>
      <c r="D100">
        <v>9.7626044591540797</v>
      </c>
      <c r="E100">
        <v>35.575208723149103</v>
      </c>
      <c r="I100" s="13" t="str">
        <f t="shared" si="9"/>
        <v>CGRPForagestotal_prem</v>
      </c>
      <c r="J100" s="13">
        <f t="shared" si="6"/>
        <v>9.7626044591540797</v>
      </c>
      <c r="K100" s="14" t="str">
        <f t="shared" si="7"/>
        <v>10 (36)</v>
      </c>
      <c r="L100" s="14" t="str">
        <f t="shared" si="8"/>
        <v>9.76 (35.58)</v>
      </c>
    </row>
    <row r="101" spans="1:12" x14ac:dyDescent="0.25">
      <c r="A101" t="s">
        <v>79</v>
      </c>
      <c r="B101" t="s">
        <v>83</v>
      </c>
      <c r="C101" t="s">
        <v>103</v>
      </c>
      <c r="D101">
        <v>46.0141243855036</v>
      </c>
      <c r="E101">
        <v>198.90890503927</v>
      </c>
      <c r="I101" s="13" t="str">
        <f t="shared" si="9"/>
        <v>CGRPFruitstotal_prem</v>
      </c>
      <c r="J101" s="13">
        <f t="shared" si="6"/>
        <v>46.0141243855036</v>
      </c>
      <c r="K101" s="14" t="str">
        <f t="shared" si="7"/>
        <v>46 (199)</v>
      </c>
      <c r="L101" s="14" t="str">
        <f t="shared" si="8"/>
        <v>46.01 (198.91)</v>
      </c>
    </row>
    <row r="102" spans="1:12" x14ac:dyDescent="0.25">
      <c r="A102" t="s">
        <v>79</v>
      </c>
      <c r="B102" t="s">
        <v>84</v>
      </c>
      <c r="C102" t="s">
        <v>103</v>
      </c>
      <c r="D102">
        <v>29.6523408699741</v>
      </c>
      <c r="E102">
        <v>93.214967532531404</v>
      </c>
      <c r="I102" s="13" t="str">
        <f t="shared" si="9"/>
        <v>CGRPVegetablestotal_prem</v>
      </c>
      <c r="J102" s="13">
        <f t="shared" si="6"/>
        <v>29.6523408699741</v>
      </c>
      <c r="K102" s="14" t="str">
        <f t="shared" si="7"/>
        <v>30 (93)</v>
      </c>
      <c r="L102" s="14" t="str">
        <f t="shared" si="8"/>
        <v>29.65 (93.21)</v>
      </c>
    </row>
    <row r="103" spans="1:12" x14ac:dyDescent="0.25">
      <c r="A103" t="s">
        <v>85</v>
      </c>
      <c r="B103" t="s">
        <v>86</v>
      </c>
      <c r="C103" t="s">
        <v>103</v>
      </c>
      <c r="D103">
        <v>39.358874402544203</v>
      </c>
      <c r="E103">
        <v>173.56729259864599</v>
      </c>
      <c r="I103" s="13" t="str">
        <f t="shared" si="9"/>
        <v>TOPCROPWHEATtotal_prem</v>
      </c>
      <c r="J103" s="13">
        <f t="shared" si="6"/>
        <v>39.358874402544203</v>
      </c>
      <c r="K103" s="14" t="str">
        <f t="shared" si="7"/>
        <v>39 (174)</v>
      </c>
      <c r="L103" s="14" t="str">
        <f t="shared" si="8"/>
        <v>39.36 (173.57)</v>
      </c>
    </row>
    <row r="104" spans="1:12" x14ac:dyDescent="0.25">
      <c r="A104" t="s">
        <v>85</v>
      </c>
      <c r="B104" t="s">
        <v>87</v>
      </c>
      <c r="C104" t="s">
        <v>103</v>
      </c>
      <c r="D104">
        <v>63.626498834293798</v>
      </c>
      <c r="E104">
        <v>295.92815116082102</v>
      </c>
      <c r="I104" s="13" t="str">
        <f t="shared" si="9"/>
        <v>TOPCROPCANOLAtotal_prem</v>
      </c>
      <c r="J104" s="13">
        <f t="shared" si="6"/>
        <v>63.626498834293798</v>
      </c>
      <c r="K104" s="14" t="str">
        <f t="shared" si="7"/>
        <v>64 (296)</v>
      </c>
      <c r="L104" s="14" t="str">
        <f t="shared" si="8"/>
        <v>63.63 (295.93)</v>
      </c>
    </row>
    <row r="105" spans="1:12" x14ac:dyDescent="0.25">
      <c r="A105" t="s">
        <v>85</v>
      </c>
      <c r="B105" t="s">
        <v>88</v>
      </c>
      <c r="C105" t="s">
        <v>103</v>
      </c>
      <c r="D105">
        <v>27.797830312593099</v>
      </c>
      <c r="E105">
        <v>126.24342046705399</v>
      </c>
      <c r="I105" s="13" t="str">
        <f t="shared" si="9"/>
        <v>TOPCROPOTHERtotal_prem</v>
      </c>
      <c r="J105" s="13">
        <f t="shared" si="6"/>
        <v>27.797830312593099</v>
      </c>
      <c r="K105" s="14" t="str">
        <f t="shared" si="7"/>
        <v>28 (126)</v>
      </c>
      <c r="L105" s="14" t="str">
        <f t="shared" si="8"/>
        <v>27.80 (126.24)</v>
      </c>
    </row>
    <row r="106" spans="1:12" x14ac:dyDescent="0.25">
      <c r="A106" t="s">
        <v>85</v>
      </c>
      <c r="B106" t="s">
        <v>89</v>
      </c>
      <c r="C106" t="s">
        <v>103</v>
      </c>
      <c r="D106">
        <v>40.4437932443413</v>
      </c>
      <c r="E106">
        <v>115.554305700855</v>
      </c>
      <c r="I106" s="13" t="str">
        <f t="shared" si="9"/>
        <v>TOPCROPRICEtotal_prem</v>
      </c>
      <c r="J106" s="13">
        <f t="shared" si="6"/>
        <v>40.4437932443413</v>
      </c>
      <c r="K106" s="14" t="str">
        <f t="shared" si="7"/>
        <v>40 (116)</v>
      </c>
      <c r="L106" s="14" t="str">
        <f t="shared" si="8"/>
        <v>40.44 (115.55)</v>
      </c>
    </row>
    <row r="107" spans="1:12" x14ac:dyDescent="0.25">
      <c r="A107" t="s">
        <v>85</v>
      </c>
      <c r="B107" t="s">
        <v>90</v>
      </c>
      <c r="C107" t="s">
        <v>103</v>
      </c>
      <c r="D107">
        <v>77.4763587947605</v>
      </c>
      <c r="E107">
        <v>340.84890824444102</v>
      </c>
      <c r="I107" s="13" t="str">
        <f t="shared" si="9"/>
        <v>TOPCROPCOTTONtotal_prem</v>
      </c>
      <c r="J107" s="13">
        <f t="shared" si="6"/>
        <v>77.4763587947605</v>
      </c>
      <c r="K107" s="14" t="str">
        <f t="shared" si="7"/>
        <v>77 (341)</v>
      </c>
      <c r="L107" s="14" t="str">
        <f t="shared" si="8"/>
        <v>77.48 (340.85)</v>
      </c>
    </row>
    <row r="108" spans="1:12" x14ac:dyDescent="0.25">
      <c r="A108" t="s">
        <v>85</v>
      </c>
      <c r="B108" t="s">
        <v>91</v>
      </c>
      <c r="C108" t="s">
        <v>103</v>
      </c>
      <c r="D108">
        <v>65.664195601723904</v>
      </c>
      <c r="E108">
        <v>158.40880014554699</v>
      </c>
      <c r="I108" s="13" t="str">
        <f t="shared" si="9"/>
        <v>TOPCROPSUGAR BEETStotal_prem</v>
      </c>
      <c r="J108" s="13">
        <f t="shared" si="6"/>
        <v>65.664195601723904</v>
      </c>
      <c r="K108" s="14" t="str">
        <f t="shared" si="7"/>
        <v>66 (158)</v>
      </c>
      <c r="L108" s="14" t="str">
        <f t="shared" si="8"/>
        <v>65.66 (158.41)</v>
      </c>
    </row>
    <row r="109" spans="1:12" x14ac:dyDescent="0.25">
      <c r="A109" t="s">
        <v>85</v>
      </c>
      <c r="B109" t="s">
        <v>92</v>
      </c>
      <c r="C109" t="s">
        <v>103</v>
      </c>
      <c r="D109">
        <v>70.177317782011102</v>
      </c>
      <c r="E109">
        <v>281.86599399131302</v>
      </c>
      <c r="I109" s="13" t="str">
        <f t="shared" si="9"/>
        <v>TOPCROPCORNtotal_prem</v>
      </c>
      <c r="J109" s="13">
        <f t="shared" si="6"/>
        <v>70.177317782011102</v>
      </c>
      <c r="K109" s="14" t="str">
        <f t="shared" si="7"/>
        <v>70 (282)</v>
      </c>
      <c r="L109" s="14" t="str">
        <f t="shared" si="8"/>
        <v>70.18 (281.87)</v>
      </c>
    </row>
    <row r="110" spans="1:12" x14ac:dyDescent="0.25">
      <c r="A110" t="s">
        <v>85</v>
      </c>
      <c r="B110" t="s">
        <v>93</v>
      </c>
      <c r="C110" t="s">
        <v>103</v>
      </c>
      <c r="D110">
        <v>27.025310940734801</v>
      </c>
      <c r="E110">
        <v>84.0815125614224</v>
      </c>
      <c r="I110" s="13" t="str">
        <f t="shared" si="9"/>
        <v>TOPCROPDRY BEANStotal_prem</v>
      </c>
      <c r="J110" s="13">
        <f t="shared" si="6"/>
        <v>27.025310940734801</v>
      </c>
      <c r="K110" s="14" t="str">
        <f t="shared" si="7"/>
        <v>27 (84)</v>
      </c>
      <c r="L110" s="14" t="str">
        <f t="shared" si="8"/>
        <v>27.03 (84.08)</v>
      </c>
    </row>
    <row r="111" spans="1:12" x14ac:dyDescent="0.25">
      <c r="A111" t="s">
        <v>85</v>
      </c>
      <c r="B111" t="s">
        <v>94</v>
      </c>
      <c r="C111" t="s">
        <v>103</v>
      </c>
      <c r="D111">
        <v>24.847703854525399</v>
      </c>
      <c r="E111">
        <v>82.211526191922999</v>
      </c>
      <c r="I111" s="13" t="str">
        <f t="shared" si="9"/>
        <v>TOPCROPSORGHUMtotal_prem</v>
      </c>
      <c r="J111" s="13">
        <f t="shared" si="6"/>
        <v>24.847703854525399</v>
      </c>
      <c r="K111" s="14" t="str">
        <f t="shared" si="7"/>
        <v>25 (82)</v>
      </c>
      <c r="L111" s="14" t="str">
        <f t="shared" si="8"/>
        <v>24.85 (82.21)</v>
      </c>
    </row>
    <row r="112" spans="1:12" x14ac:dyDescent="0.25">
      <c r="A112" t="s">
        <v>85</v>
      </c>
      <c r="B112" t="s">
        <v>95</v>
      </c>
      <c r="C112" t="s">
        <v>103</v>
      </c>
      <c r="D112">
        <v>26.656942091616202</v>
      </c>
      <c r="E112">
        <v>75.007989266894299</v>
      </c>
      <c r="I112" s="13" t="str">
        <f t="shared" si="9"/>
        <v>TOPCROPDRY PEAStotal_prem</v>
      </c>
      <c r="J112" s="13">
        <f t="shared" si="6"/>
        <v>26.656942091616202</v>
      </c>
      <c r="K112" s="14" t="str">
        <f t="shared" si="7"/>
        <v>27 (75)</v>
      </c>
      <c r="L112" s="14" t="str">
        <f t="shared" si="8"/>
        <v>26.66 (75.01)</v>
      </c>
    </row>
    <row r="113" spans="1:12" x14ac:dyDescent="0.25">
      <c r="A113" t="s">
        <v>85</v>
      </c>
      <c r="B113" t="s">
        <v>96</v>
      </c>
      <c r="C113" t="s">
        <v>103</v>
      </c>
      <c r="D113">
        <v>25.344520587544501</v>
      </c>
      <c r="E113">
        <v>74.762668469837493</v>
      </c>
      <c r="I113" s="13" t="str">
        <f t="shared" si="9"/>
        <v>TOPCROPSUNFLOWERStotal_prem</v>
      </c>
      <c r="J113" s="13">
        <f t="shared" si="6"/>
        <v>25.344520587544501</v>
      </c>
      <c r="K113" s="14" t="str">
        <f t="shared" si="7"/>
        <v>25 (75)</v>
      </c>
      <c r="L113" s="14" t="str">
        <f t="shared" si="8"/>
        <v>25.34 (74.76)</v>
      </c>
    </row>
    <row r="114" spans="1:12" x14ac:dyDescent="0.25">
      <c r="A114" t="s">
        <v>85</v>
      </c>
      <c r="B114" t="s">
        <v>97</v>
      </c>
      <c r="C114" t="s">
        <v>103</v>
      </c>
      <c r="D114">
        <v>43.727836159097102</v>
      </c>
      <c r="E114">
        <v>164.566361960965</v>
      </c>
      <c r="I114" s="13" t="str">
        <f t="shared" si="9"/>
        <v>TOPCROPSOYBEANStotal_prem</v>
      </c>
      <c r="J114" s="13">
        <f t="shared" si="6"/>
        <v>43.727836159097102</v>
      </c>
      <c r="K114" s="14" t="str">
        <f t="shared" si="7"/>
        <v>44 (165)</v>
      </c>
      <c r="L114" s="14" t="str">
        <f t="shared" si="8"/>
        <v>43.73 (164.57)</v>
      </c>
    </row>
    <row r="115" spans="1:12" x14ac:dyDescent="0.25">
      <c r="A115" t="s">
        <v>85</v>
      </c>
      <c r="B115" t="s">
        <v>98</v>
      </c>
      <c r="C115" t="s">
        <v>103</v>
      </c>
      <c r="D115">
        <v>13.6661230898948</v>
      </c>
      <c r="E115">
        <v>40.376730176697897</v>
      </c>
      <c r="I115" s="13" t="str">
        <f t="shared" si="9"/>
        <v>TOPCROPBARLEYtotal_prem</v>
      </c>
      <c r="J115" s="13">
        <f t="shared" si="6"/>
        <v>13.6661230898948</v>
      </c>
      <c r="K115" s="14" t="str">
        <f t="shared" si="7"/>
        <v>14 (40)</v>
      </c>
      <c r="L115" s="14" t="str">
        <f t="shared" si="8"/>
        <v>13.67 (40.38)</v>
      </c>
    </row>
    <row r="116" spans="1:12" x14ac:dyDescent="0.25">
      <c r="A116" t="s">
        <v>77</v>
      </c>
      <c r="B116" t="s">
        <v>77</v>
      </c>
      <c r="C116" t="s">
        <v>104</v>
      </c>
      <c r="D116">
        <v>30.359525948292401</v>
      </c>
      <c r="E116">
        <v>142.64946604264301</v>
      </c>
      <c r="I116" s="13" t="str">
        <f t="shared" si="9"/>
        <v>FCIPFCIPsubsidy</v>
      </c>
      <c r="J116" s="13">
        <f t="shared" si="6"/>
        <v>30.359525948292401</v>
      </c>
      <c r="K116" s="14" t="str">
        <f t="shared" si="7"/>
        <v>30 (143)</v>
      </c>
      <c r="L116" s="14" t="str">
        <f t="shared" si="8"/>
        <v>30.36 (142.65)</v>
      </c>
    </row>
    <row r="117" spans="1:12" x14ac:dyDescent="0.25">
      <c r="A117" t="s">
        <v>79</v>
      </c>
      <c r="B117" t="s">
        <v>80</v>
      </c>
      <c r="C117" t="s">
        <v>104</v>
      </c>
      <c r="D117">
        <v>31.004568384148602</v>
      </c>
      <c r="E117">
        <v>145.32751200753401</v>
      </c>
      <c r="I117" s="13" t="str">
        <f t="shared" si="9"/>
        <v>CGRPField Cropssubsidy</v>
      </c>
      <c r="J117" s="13">
        <f t="shared" si="6"/>
        <v>31.004568384148602</v>
      </c>
      <c r="K117" s="14" t="str">
        <f t="shared" si="7"/>
        <v>31 (145)</v>
      </c>
      <c r="L117" s="14" t="str">
        <f t="shared" si="8"/>
        <v>31.00 (145.33)</v>
      </c>
    </row>
    <row r="118" spans="1:12" x14ac:dyDescent="0.25">
      <c r="A118" t="s">
        <v>79</v>
      </c>
      <c r="B118" t="s">
        <v>81</v>
      </c>
      <c r="C118" t="s">
        <v>104</v>
      </c>
      <c r="D118">
        <v>109.741286324786</v>
      </c>
      <c r="E118">
        <v>261.01999256369402</v>
      </c>
      <c r="I118" s="13" t="str">
        <f t="shared" si="9"/>
        <v>CGRPNutssubsidy</v>
      </c>
      <c r="J118" s="13">
        <f t="shared" si="6"/>
        <v>109.741286324786</v>
      </c>
      <c r="K118" s="14" t="str">
        <f t="shared" si="7"/>
        <v>110 (261)</v>
      </c>
      <c r="L118" s="14" t="str">
        <f t="shared" si="8"/>
        <v>109.74 (261.02)</v>
      </c>
    </row>
    <row r="119" spans="1:12" x14ac:dyDescent="0.25">
      <c r="A119" t="s">
        <v>79</v>
      </c>
      <c r="B119" t="s">
        <v>82</v>
      </c>
      <c r="C119" t="s">
        <v>104</v>
      </c>
      <c r="D119">
        <v>6.01660376519155</v>
      </c>
      <c r="E119">
        <v>21.4689288882496</v>
      </c>
      <c r="I119" s="13" t="str">
        <f t="shared" si="9"/>
        <v>CGRPForagessubsidy</v>
      </c>
      <c r="J119" s="13">
        <f t="shared" si="6"/>
        <v>6.01660376519155</v>
      </c>
      <c r="K119" s="14" t="str">
        <f t="shared" si="7"/>
        <v>6 (21)</v>
      </c>
      <c r="L119" s="14" t="str">
        <f t="shared" si="8"/>
        <v>6.02 (21.47)</v>
      </c>
    </row>
    <row r="120" spans="1:12" x14ac:dyDescent="0.25">
      <c r="A120" t="s">
        <v>79</v>
      </c>
      <c r="B120" t="s">
        <v>83</v>
      </c>
      <c r="C120" t="s">
        <v>104</v>
      </c>
      <c r="D120">
        <v>27.629003658397199</v>
      </c>
      <c r="E120">
        <v>117.203765203896</v>
      </c>
      <c r="I120" s="13" t="str">
        <f t="shared" si="9"/>
        <v>CGRPFruitssubsidy</v>
      </c>
      <c r="J120" s="13">
        <f t="shared" si="6"/>
        <v>27.629003658397199</v>
      </c>
      <c r="K120" s="14" t="str">
        <f t="shared" si="7"/>
        <v>28 (117)</v>
      </c>
      <c r="L120" s="14" t="str">
        <f t="shared" si="8"/>
        <v>27.63 (117.20)</v>
      </c>
    </row>
    <row r="121" spans="1:12" x14ac:dyDescent="0.25">
      <c r="A121" t="s">
        <v>79</v>
      </c>
      <c r="B121" t="s">
        <v>84</v>
      </c>
      <c r="C121" t="s">
        <v>104</v>
      </c>
      <c r="D121">
        <v>17.9391361716776</v>
      </c>
      <c r="E121">
        <v>57.931760698709802</v>
      </c>
      <c r="I121" s="13" t="str">
        <f t="shared" si="9"/>
        <v>CGRPVegetablessubsidy</v>
      </c>
      <c r="J121" s="13">
        <f t="shared" si="6"/>
        <v>17.9391361716776</v>
      </c>
      <c r="K121" s="14" t="str">
        <f t="shared" si="7"/>
        <v>18 (58)</v>
      </c>
      <c r="L121" s="14" t="str">
        <f t="shared" si="8"/>
        <v>17.94 (57.93)</v>
      </c>
    </row>
    <row r="122" spans="1:12" x14ac:dyDescent="0.25">
      <c r="A122" t="s">
        <v>85</v>
      </c>
      <c r="B122" t="s">
        <v>86</v>
      </c>
      <c r="C122" t="s">
        <v>104</v>
      </c>
      <c r="D122">
        <v>24.266014106168999</v>
      </c>
      <c r="E122">
        <v>110.546882800297</v>
      </c>
      <c r="I122" s="13" t="str">
        <f t="shared" si="9"/>
        <v>TOPCROPWHEATsubsidy</v>
      </c>
      <c r="J122" s="13">
        <f t="shared" si="6"/>
        <v>24.266014106168999</v>
      </c>
      <c r="K122" s="14" t="str">
        <f t="shared" si="7"/>
        <v>24 (111)</v>
      </c>
      <c r="L122" s="14" t="str">
        <f t="shared" si="8"/>
        <v>24.27 (110.55)</v>
      </c>
    </row>
    <row r="123" spans="1:12" x14ac:dyDescent="0.25">
      <c r="A123" t="s">
        <v>85</v>
      </c>
      <c r="B123" t="s">
        <v>87</v>
      </c>
      <c r="C123" t="s">
        <v>104</v>
      </c>
      <c r="D123">
        <v>41.236691153829199</v>
      </c>
      <c r="E123">
        <v>198.44716816932001</v>
      </c>
      <c r="I123" s="13" t="str">
        <f t="shared" si="9"/>
        <v>TOPCROPCANOLAsubsidy</v>
      </c>
      <c r="J123" s="13">
        <f t="shared" si="6"/>
        <v>41.236691153829199</v>
      </c>
      <c r="K123" s="14" t="str">
        <f t="shared" si="7"/>
        <v>41 (198)</v>
      </c>
      <c r="L123" s="14" t="str">
        <f t="shared" si="8"/>
        <v>41.24 (198.45)</v>
      </c>
    </row>
    <row r="124" spans="1:12" x14ac:dyDescent="0.25">
      <c r="A124" t="s">
        <v>85</v>
      </c>
      <c r="B124" t="s">
        <v>88</v>
      </c>
      <c r="C124" t="s">
        <v>104</v>
      </c>
      <c r="D124">
        <v>16.3264211294027</v>
      </c>
      <c r="E124">
        <v>72.428053590906501</v>
      </c>
      <c r="I124" s="13" t="str">
        <f t="shared" si="9"/>
        <v>TOPCROPOTHERsubsidy</v>
      </c>
      <c r="J124" s="13">
        <f t="shared" si="6"/>
        <v>16.3264211294027</v>
      </c>
      <c r="K124" s="14" t="str">
        <f t="shared" si="7"/>
        <v>16 (72)</v>
      </c>
      <c r="L124" s="14" t="str">
        <f t="shared" si="8"/>
        <v>16.33 (72.43)</v>
      </c>
    </row>
    <row r="125" spans="1:12" x14ac:dyDescent="0.25">
      <c r="A125" t="s">
        <v>85</v>
      </c>
      <c r="B125" t="s">
        <v>89</v>
      </c>
      <c r="C125" t="s">
        <v>104</v>
      </c>
      <c r="D125">
        <v>24.955884457341799</v>
      </c>
      <c r="E125">
        <v>70.540246768423103</v>
      </c>
      <c r="I125" s="13" t="str">
        <f t="shared" si="9"/>
        <v>TOPCROPRICEsubsidy</v>
      </c>
      <c r="J125" s="13">
        <f t="shared" si="6"/>
        <v>24.955884457341799</v>
      </c>
      <c r="K125" s="14" t="str">
        <f t="shared" si="7"/>
        <v>25 (71)</v>
      </c>
      <c r="L125" s="14" t="str">
        <f t="shared" si="8"/>
        <v>24.96 (70.54)</v>
      </c>
    </row>
    <row r="126" spans="1:12" x14ac:dyDescent="0.25">
      <c r="A126" t="s">
        <v>85</v>
      </c>
      <c r="B126" t="s">
        <v>90</v>
      </c>
      <c r="C126" t="s">
        <v>104</v>
      </c>
      <c r="D126">
        <v>51.220335852937303</v>
      </c>
      <c r="E126">
        <v>245.514805229041</v>
      </c>
      <c r="I126" s="13" t="str">
        <f t="shared" si="9"/>
        <v>TOPCROPCOTTONsubsidy</v>
      </c>
      <c r="J126" s="13">
        <f t="shared" si="6"/>
        <v>51.220335852937303</v>
      </c>
      <c r="K126" s="14" t="str">
        <f t="shared" si="7"/>
        <v>51 (246)</v>
      </c>
      <c r="L126" s="14" t="str">
        <f t="shared" si="8"/>
        <v>51.22 (245.51)</v>
      </c>
    </row>
    <row r="127" spans="1:12" x14ac:dyDescent="0.25">
      <c r="A127" t="s">
        <v>85</v>
      </c>
      <c r="B127" t="s">
        <v>91</v>
      </c>
      <c r="C127" t="s">
        <v>104</v>
      </c>
      <c r="D127">
        <v>35.993101337164298</v>
      </c>
      <c r="E127">
        <v>86.640878327890405</v>
      </c>
      <c r="I127" s="13" t="str">
        <f t="shared" si="9"/>
        <v>TOPCROPSUGAR BEETSsubsidy</v>
      </c>
      <c r="J127" s="13">
        <f t="shared" si="6"/>
        <v>35.993101337164298</v>
      </c>
      <c r="K127" s="14" t="str">
        <f t="shared" si="7"/>
        <v>36 (87)</v>
      </c>
      <c r="L127" s="14" t="str">
        <f t="shared" si="8"/>
        <v>35.99 (86.64)</v>
      </c>
    </row>
    <row r="128" spans="1:12" x14ac:dyDescent="0.25">
      <c r="A128" t="s">
        <v>85</v>
      </c>
      <c r="B128" t="s">
        <v>92</v>
      </c>
      <c r="C128" t="s">
        <v>104</v>
      </c>
      <c r="D128">
        <v>43.070525443136397</v>
      </c>
      <c r="E128">
        <v>190.856168501837</v>
      </c>
      <c r="I128" s="13" t="str">
        <f t="shared" si="9"/>
        <v>TOPCROPCORNsubsidy</v>
      </c>
      <c r="J128" s="13">
        <f t="shared" si="6"/>
        <v>43.070525443136397</v>
      </c>
      <c r="K128" s="14" t="str">
        <f t="shared" si="7"/>
        <v>43 (191)</v>
      </c>
      <c r="L128" s="14" t="str">
        <f t="shared" si="8"/>
        <v>43.07 (190.86)</v>
      </c>
    </row>
    <row r="129" spans="1:12" x14ac:dyDescent="0.25">
      <c r="A129" t="s">
        <v>85</v>
      </c>
      <c r="B129" t="s">
        <v>93</v>
      </c>
      <c r="C129" t="s">
        <v>104</v>
      </c>
      <c r="D129">
        <v>16.461088950489501</v>
      </c>
      <c r="E129">
        <v>53.351576201401102</v>
      </c>
      <c r="I129" s="13" t="str">
        <f t="shared" si="9"/>
        <v>TOPCROPDRY BEANSsubsidy</v>
      </c>
      <c r="J129" s="13">
        <f t="shared" si="6"/>
        <v>16.461088950489501</v>
      </c>
      <c r="K129" s="14" t="str">
        <f t="shared" si="7"/>
        <v>16 (53)</v>
      </c>
      <c r="L129" s="14" t="str">
        <f t="shared" si="8"/>
        <v>16.46 (53.35)</v>
      </c>
    </row>
    <row r="130" spans="1:12" x14ac:dyDescent="0.25">
      <c r="A130" t="s">
        <v>85</v>
      </c>
      <c r="B130" t="s">
        <v>94</v>
      </c>
      <c r="C130" t="s">
        <v>104</v>
      </c>
      <c r="D130">
        <v>15.7252513454363</v>
      </c>
      <c r="E130">
        <v>55.408973801596503</v>
      </c>
      <c r="I130" s="13" t="str">
        <f t="shared" si="9"/>
        <v>TOPCROPSORGHUMsubsidy</v>
      </c>
      <c r="J130" s="13">
        <f t="shared" si="6"/>
        <v>15.7252513454363</v>
      </c>
      <c r="K130" s="14" t="str">
        <f t="shared" si="7"/>
        <v>16 (55)</v>
      </c>
      <c r="L130" s="14" t="str">
        <f t="shared" si="8"/>
        <v>15.73 (55.41)</v>
      </c>
    </row>
    <row r="131" spans="1:12" x14ac:dyDescent="0.25">
      <c r="A131" t="s">
        <v>85</v>
      </c>
      <c r="B131" t="s">
        <v>95</v>
      </c>
      <c r="C131" t="s">
        <v>104</v>
      </c>
      <c r="D131">
        <v>16.369578550002501</v>
      </c>
      <c r="E131">
        <v>48.945690287124798</v>
      </c>
      <c r="I131" s="13" t="str">
        <f t="shared" si="9"/>
        <v>TOPCROPDRY PEASsubsidy</v>
      </c>
      <c r="J131" s="13">
        <f t="shared" ref="J131:J194" si="10">D131</f>
        <v>16.369578550002501</v>
      </c>
      <c r="K131" s="14" t="str">
        <f t="shared" ref="K131:K194" si="11">TEXT(D131,"0")&amp;" ("&amp;TEXT(E131,"0")&amp;")"</f>
        <v>16 (49)</v>
      </c>
      <c r="L131" s="14" t="str">
        <f t="shared" ref="L131:L194" si="12">TEXT(D131,"0.00")&amp;" ("&amp;TEXT(E131,"0.00")&amp;")"</f>
        <v>16.37 (48.95)</v>
      </c>
    </row>
    <row r="132" spans="1:12" x14ac:dyDescent="0.25">
      <c r="A132" t="s">
        <v>85</v>
      </c>
      <c r="B132" t="s">
        <v>96</v>
      </c>
      <c r="C132" t="s">
        <v>104</v>
      </c>
      <c r="D132">
        <v>16.600133931959</v>
      </c>
      <c r="E132">
        <v>52.842002258370798</v>
      </c>
      <c r="I132" s="13" t="str">
        <f t="shared" si="9"/>
        <v>TOPCROPSUNFLOWERSsubsidy</v>
      </c>
      <c r="J132" s="13">
        <f t="shared" si="10"/>
        <v>16.600133931959</v>
      </c>
      <c r="K132" s="14" t="str">
        <f t="shared" si="11"/>
        <v>17 (53)</v>
      </c>
      <c r="L132" s="14" t="str">
        <f t="shared" si="12"/>
        <v>16.60 (52.84)</v>
      </c>
    </row>
    <row r="133" spans="1:12" x14ac:dyDescent="0.25">
      <c r="A133" t="s">
        <v>85</v>
      </c>
      <c r="B133" t="s">
        <v>97</v>
      </c>
      <c r="C133" t="s">
        <v>104</v>
      </c>
      <c r="D133">
        <v>26.963549175365699</v>
      </c>
      <c r="E133">
        <v>109.73193993538</v>
      </c>
      <c r="I133" s="13" t="str">
        <f t="shared" si="9"/>
        <v>TOPCROPSOYBEANSsubsidy</v>
      </c>
      <c r="J133" s="13">
        <f t="shared" si="10"/>
        <v>26.963549175365699</v>
      </c>
      <c r="K133" s="14" t="str">
        <f t="shared" si="11"/>
        <v>27 (110)</v>
      </c>
      <c r="L133" s="14" t="str">
        <f t="shared" si="12"/>
        <v>26.96 (109.73)</v>
      </c>
    </row>
    <row r="134" spans="1:12" x14ac:dyDescent="0.25">
      <c r="A134" t="s">
        <v>85</v>
      </c>
      <c r="B134" t="s">
        <v>98</v>
      </c>
      <c r="C134" t="s">
        <v>104</v>
      </c>
      <c r="D134">
        <v>8.3298411162060102</v>
      </c>
      <c r="E134">
        <v>26.618943870690401</v>
      </c>
      <c r="I134" s="13" t="str">
        <f t="shared" si="9"/>
        <v>TOPCROPBARLEYsubsidy</v>
      </c>
      <c r="J134" s="13">
        <f t="shared" si="10"/>
        <v>8.3298411162060102</v>
      </c>
      <c r="K134" s="14" t="str">
        <f t="shared" si="11"/>
        <v>8 (27)</v>
      </c>
      <c r="L134" s="14" t="str">
        <f t="shared" si="12"/>
        <v>8.33 (26.62)</v>
      </c>
    </row>
    <row r="135" spans="1:12" x14ac:dyDescent="0.25">
      <c r="A135" t="s">
        <v>77</v>
      </c>
      <c r="B135" t="s">
        <v>77</v>
      </c>
      <c r="C135" t="s">
        <v>105</v>
      </c>
      <c r="D135">
        <v>41.882225715605898</v>
      </c>
      <c r="E135">
        <v>310.63287676059599</v>
      </c>
      <c r="I135" s="13" t="str">
        <f t="shared" si="9"/>
        <v>FCIPFCIPindem_amt</v>
      </c>
      <c r="J135" s="13">
        <f t="shared" si="10"/>
        <v>41.882225715605898</v>
      </c>
      <c r="K135" s="14" t="str">
        <f t="shared" si="11"/>
        <v>42 (311)</v>
      </c>
      <c r="L135" s="14" t="str">
        <f t="shared" si="12"/>
        <v>41.88 (310.63)</v>
      </c>
    </row>
    <row r="136" spans="1:12" x14ac:dyDescent="0.25">
      <c r="A136" t="s">
        <v>79</v>
      </c>
      <c r="B136" t="s">
        <v>80</v>
      </c>
      <c r="C136" t="s">
        <v>105</v>
      </c>
      <c r="D136">
        <v>42.569893830439497</v>
      </c>
      <c r="E136">
        <v>314.94137772935602</v>
      </c>
      <c r="I136" s="13" t="str">
        <f t="shared" si="9"/>
        <v>CGRPField Cropsindem_amt</v>
      </c>
      <c r="J136" s="13">
        <f t="shared" si="10"/>
        <v>42.569893830439497</v>
      </c>
      <c r="K136" s="14" t="str">
        <f t="shared" si="11"/>
        <v>43 (315)</v>
      </c>
      <c r="L136" s="14" t="str">
        <f t="shared" si="12"/>
        <v>42.57 (314.94)</v>
      </c>
    </row>
    <row r="137" spans="1:12" x14ac:dyDescent="0.25">
      <c r="A137" t="s">
        <v>79</v>
      </c>
      <c r="B137" t="s">
        <v>81</v>
      </c>
      <c r="C137" t="s">
        <v>105</v>
      </c>
      <c r="D137">
        <v>188.131395299145</v>
      </c>
      <c r="E137">
        <v>928.36917571086497</v>
      </c>
      <c r="I137" s="13" t="str">
        <f t="shared" si="9"/>
        <v>CGRPNutsindem_amt</v>
      </c>
      <c r="J137" s="13">
        <f t="shared" si="10"/>
        <v>188.131395299145</v>
      </c>
      <c r="K137" s="14" t="str">
        <f t="shared" si="11"/>
        <v>188 (928)</v>
      </c>
      <c r="L137" s="14" t="str">
        <f t="shared" si="12"/>
        <v>188.13 (928.37)</v>
      </c>
    </row>
    <row r="138" spans="1:12" x14ac:dyDescent="0.25">
      <c r="A138" t="s">
        <v>79</v>
      </c>
      <c r="B138" t="s">
        <v>82</v>
      </c>
      <c r="C138" t="s">
        <v>105</v>
      </c>
      <c r="D138">
        <v>8.4520104806135308</v>
      </c>
      <c r="E138">
        <v>62.925076808533298</v>
      </c>
      <c r="I138" s="13" t="str">
        <f t="shared" si="9"/>
        <v>CGRPForagesindem_amt</v>
      </c>
      <c r="J138" s="13">
        <f t="shared" si="10"/>
        <v>8.4520104806135308</v>
      </c>
      <c r="K138" s="14" t="str">
        <f t="shared" si="11"/>
        <v>8 (63)</v>
      </c>
      <c r="L138" s="14" t="str">
        <f t="shared" si="12"/>
        <v>8.45 (62.93)</v>
      </c>
    </row>
    <row r="139" spans="1:12" x14ac:dyDescent="0.25">
      <c r="A139" t="s">
        <v>79</v>
      </c>
      <c r="B139" t="s">
        <v>83</v>
      </c>
      <c r="C139" t="s">
        <v>105</v>
      </c>
      <c r="D139">
        <v>43.331800503029598</v>
      </c>
      <c r="E139">
        <v>228.35002703110101</v>
      </c>
      <c r="I139" s="13" t="str">
        <f t="shared" si="9"/>
        <v>CGRPFruitsindem_amt</v>
      </c>
      <c r="J139" s="13">
        <f t="shared" si="10"/>
        <v>43.331800503029598</v>
      </c>
      <c r="K139" s="14" t="str">
        <f t="shared" si="11"/>
        <v>43 (228)</v>
      </c>
      <c r="L139" s="14" t="str">
        <f t="shared" si="12"/>
        <v>43.33 (228.35)</v>
      </c>
    </row>
    <row r="140" spans="1:12" x14ac:dyDescent="0.25">
      <c r="A140" t="s">
        <v>79</v>
      </c>
      <c r="B140" t="s">
        <v>84</v>
      </c>
      <c r="C140" t="s">
        <v>105</v>
      </c>
      <c r="D140">
        <v>28.217650222069199</v>
      </c>
      <c r="E140">
        <v>123.04066288186</v>
      </c>
      <c r="I140" s="13" t="str">
        <f t="shared" si="9"/>
        <v>CGRPVegetablesindem_amt</v>
      </c>
      <c r="J140" s="13">
        <f t="shared" si="10"/>
        <v>28.217650222069199</v>
      </c>
      <c r="K140" s="14" t="str">
        <f t="shared" si="11"/>
        <v>28 (123)</v>
      </c>
      <c r="L140" s="14" t="str">
        <f t="shared" si="12"/>
        <v>28.22 (123.04)</v>
      </c>
    </row>
    <row r="141" spans="1:12" x14ac:dyDescent="0.25">
      <c r="A141" t="s">
        <v>85</v>
      </c>
      <c r="B141" t="s">
        <v>86</v>
      </c>
      <c r="C141" t="s">
        <v>105</v>
      </c>
      <c r="D141">
        <v>36.416719413190201</v>
      </c>
      <c r="E141">
        <v>230.27076753019901</v>
      </c>
      <c r="I141" s="13" t="str">
        <f t="shared" si="9"/>
        <v>TOPCROPWHEATindem_amt</v>
      </c>
      <c r="J141" s="13">
        <f t="shared" si="10"/>
        <v>36.416719413190201</v>
      </c>
      <c r="K141" s="14" t="str">
        <f t="shared" si="11"/>
        <v>36 (230)</v>
      </c>
      <c r="L141" s="14" t="str">
        <f t="shared" si="12"/>
        <v>36.42 (230.27)</v>
      </c>
    </row>
    <row r="142" spans="1:12" x14ac:dyDescent="0.25">
      <c r="A142" t="s">
        <v>85</v>
      </c>
      <c r="B142" t="s">
        <v>87</v>
      </c>
      <c r="C142" t="s">
        <v>105</v>
      </c>
      <c r="D142">
        <v>51.299142304139401</v>
      </c>
      <c r="E142">
        <v>250.199931028794</v>
      </c>
      <c r="I142" s="13" t="str">
        <f t="shared" si="9"/>
        <v>TOPCROPCANOLAindem_amt</v>
      </c>
      <c r="J142" s="13">
        <f t="shared" si="10"/>
        <v>51.299142304139401</v>
      </c>
      <c r="K142" s="14" t="str">
        <f t="shared" si="11"/>
        <v>51 (250)</v>
      </c>
      <c r="L142" s="14" t="str">
        <f t="shared" si="12"/>
        <v>51.30 (250.20)</v>
      </c>
    </row>
    <row r="143" spans="1:12" x14ac:dyDescent="0.25">
      <c r="A143" t="s">
        <v>85</v>
      </c>
      <c r="B143" t="s">
        <v>88</v>
      </c>
      <c r="C143" t="s">
        <v>105</v>
      </c>
      <c r="D143">
        <v>32.521755984501802</v>
      </c>
      <c r="E143">
        <v>240.916665662432</v>
      </c>
      <c r="I143" s="13" t="str">
        <f t="shared" si="9"/>
        <v>TOPCROPOTHERindem_amt</v>
      </c>
      <c r="J143" s="13">
        <f t="shared" si="10"/>
        <v>32.521755984501802</v>
      </c>
      <c r="K143" s="14" t="str">
        <f t="shared" si="11"/>
        <v>33 (241)</v>
      </c>
      <c r="L143" s="14" t="str">
        <f t="shared" si="12"/>
        <v>32.52 (240.92)</v>
      </c>
    </row>
    <row r="144" spans="1:12" x14ac:dyDescent="0.25">
      <c r="A144" t="s">
        <v>85</v>
      </c>
      <c r="B144" t="s">
        <v>89</v>
      </c>
      <c r="C144" t="s">
        <v>105</v>
      </c>
      <c r="D144">
        <v>74.888345885084107</v>
      </c>
      <c r="E144">
        <v>584.60819918930201</v>
      </c>
      <c r="I144" s="13" t="str">
        <f t="shared" si="9"/>
        <v>TOPCROPRICEindem_amt</v>
      </c>
      <c r="J144" s="13">
        <f t="shared" si="10"/>
        <v>74.888345885084107</v>
      </c>
      <c r="K144" s="14" t="str">
        <f t="shared" si="11"/>
        <v>75 (585)</v>
      </c>
      <c r="L144" s="14" t="str">
        <f t="shared" si="12"/>
        <v>74.89 (584.61)</v>
      </c>
    </row>
    <row r="145" spans="1:12" x14ac:dyDescent="0.25">
      <c r="A145" t="s">
        <v>85</v>
      </c>
      <c r="B145" t="s">
        <v>90</v>
      </c>
      <c r="C145" t="s">
        <v>105</v>
      </c>
      <c r="D145">
        <v>101.722643821204</v>
      </c>
      <c r="E145">
        <v>668.194562654474</v>
      </c>
      <c r="I145" s="13" t="str">
        <f t="shared" si="9"/>
        <v>TOPCROPCOTTONindem_amt</v>
      </c>
      <c r="J145" s="13">
        <f t="shared" si="10"/>
        <v>101.722643821204</v>
      </c>
      <c r="K145" s="14" t="str">
        <f t="shared" si="11"/>
        <v>102 (668)</v>
      </c>
      <c r="L145" s="14" t="str">
        <f t="shared" si="12"/>
        <v>101.72 (668.19)</v>
      </c>
    </row>
    <row r="146" spans="1:12" x14ac:dyDescent="0.25">
      <c r="A146" t="s">
        <v>85</v>
      </c>
      <c r="B146" t="s">
        <v>91</v>
      </c>
      <c r="C146" t="s">
        <v>105</v>
      </c>
      <c r="D146">
        <v>51.434068571112803</v>
      </c>
      <c r="E146">
        <v>260.628842635338</v>
      </c>
      <c r="I146" s="13" t="str">
        <f t="shared" si="9"/>
        <v>TOPCROPSUGAR BEETSindem_amt</v>
      </c>
      <c r="J146" s="13">
        <f t="shared" si="10"/>
        <v>51.434068571112803</v>
      </c>
      <c r="K146" s="14" t="str">
        <f t="shared" si="11"/>
        <v>51 (261)</v>
      </c>
      <c r="L146" s="14" t="str">
        <f t="shared" si="12"/>
        <v>51.43 (260.63)</v>
      </c>
    </row>
    <row r="147" spans="1:12" x14ac:dyDescent="0.25">
      <c r="A147" t="s">
        <v>85</v>
      </c>
      <c r="B147" t="s">
        <v>92</v>
      </c>
      <c r="C147" t="s">
        <v>105</v>
      </c>
      <c r="D147">
        <v>55.669427164336199</v>
      </c>
      <c r="E147">
        <v>397.17557242269498</v>
      </c>
      <c r="I147" s="13" t="str">
        <f t="shared" si="9"/>
        <v>TOPCROPCORNindem_amt</v>
      </c>
      <c r="J147" s="13">
        <f t="shared" si="10"/>
        <v>55.669427164336199</v>
      </c>
      <c r="K147" s="14" t="str">
        <f t="shared" si="11"/>
        <v>56 (397)</v>
      </c>
      <c r="L147" s="14" t="str">
        <f t="shared" si="12"/>
        <v>55.67 (397.18)</v>
      </c>
    </row>
    <row r="148" spans="1:12" x14ac:dyDescent="0.25">
      <c r="A148" t="s">
        <v>85</v>
      </c>
      <c r="B148" t="s">
        <v>93</v>
      </c>
      <c r="C148" t="s">
        <v>105</v>
      </c>
      <c r="D148">
        <v>22.8095722130601</v>
      </c>
      <c r="E148">
        <v>97.594769822565894</v>
      </c>
      <c r="I148" s="13" t="str">
        <f t="shared" si="9"/>
        <v>TOPCROPDRY BEANSindem_amt</v>
      </c>
      <c r="J148" s="13">
        <f t="shared" si="10"/>
        <v>22.8095722130601</v>
      </c>
      <c r="K148" s="14" t="str">
        <f t="shared" si="11"/>
        <v>23 (98)</v>
      </c>
      <c r="L148" s="14" t="str">
        <f t="shared" si="12"/>
        <v>22.81 (97.59)</v>
      </c>
    </row>
    <row r="149" spans="1:12" x14ac:dyDescent="0.25">
      <c r="A149" t="s">
        <v>85</v>
      </c>
      <c r="B149" t="s">
        <v>94</v>
      </c>
      <c r="C149" t="s">
        <v>105</v>
      </c>
      <c r="D149">
        <v>24.823163664848799</v>
      </c>
      <c r="E149">
        <v>136.73467714096799</v>
      </c>
      <c r="I149" s="13" t="str">
        <f t="shared" si="9"/>
        <v>TOPCROPSORGHUMindem_amt</v>
      </c>
      <c r="J149" s="13">
        <f t="shared" si="10"/>
        <v>24.823163664848799</v>
      </c>
      <c r="K149" s="14" t="str">
        <f t="shared" si="11"/>
        <v>25 (137)</v>
      </c>
      <c r="L149" s="14" t="str">
        <f t="shared" si="12"/>
        <v>24.82 (136.73)</v>
      </c>
    </row>
    <row r="150" spans="1:12" x14ac:dyDescent="0.25">
      <c r="A150" t="s">
        <v>85</v>
      </c>
      <c r="B150" t="s">
        <v>95</v>
      </c>
      <c r="C150" t="s">
        <v>105</v>
      </c>
      <c r="D150">
        <v>29.530758274442</v>
      </c>
      <c r="E150">
        <v>115.609452044688</v>
      </c>
      <c r="I150" s="13" t="str">
        <f t="shared" si="9"/>
        <v>TOPCROPDRY PEASindem_amt</v>
      </c>
      <c r="J150" s="13">
        <f t="shared" si="10"/>
        <v>29.530758274442</v>
      </c>
      <c r="K150" s="14" t="str">
        <f t="shared" si="11"/>
        <v>30 (116)</v>
      </c>
      <c r="L150" s="14" t="str">
        <f t="shared" si="12"/>
        <v>29.53 (115.61)</v>
      </c>
    </row>
    <row r="151" spans="1:12" x14ac:dyDescent="0.25">
      <c r="A151" t="s">
        <v>85</v>
      </c>
      <c r="B151" t="s">
        <v>96</v>
      </c>
      <c r="C151" t="s">
        <v>105</v>
      </c>
      <c r="D151">
        <v>24.846965003884399</v>
      </c>
      <c r="E151">
        <v>102.583602847451</v>
      </c>
      <c r="I151" s="13" t="str">
        <f t="shared" si="9"/>
        <v>TOPCROPSUNFLOWERSindem_amt</v>
      </c>
      <c r="J151" s="13">
        <f t="shared" si="10"/>
        <v>24.846965003884399</v>
      </c>
      <c r="K151" s="14" t="str">
        <f t="shared" si="11"/>
        <v>25 (103)</v>
      </c>
      <c r="L151" s="14" t="str">
        <f t="shared" si="12"/>
        <v>24.85 (102.58)</v>
      </c>
    </row>
    <row r="152" spans="1:12" x14ac:dyDescent="0.25">
      <c r="A152" t="s">
        <v>85</v>
      </c>
      <c r="B152" t="s">
        <v>97</v>
      </c>
      <c r="C152" t="s">
        <v>105</v>
      </c>
      <c r="D152">
        <v>27.3090558237399</v>
      </c>
      <c r="E152">
        <v>151.19568566629499</v>
      </c>
      <c r="I152" s="13" t="str">
        <f t="shared" si="9"/>
        <v>TOPCROPSOYBEANSindem_amt</v>
      </c>
      <c r="J152" s="13">
        <f t="shared" si="10"/>
        <v>27.3090558237399</v>
      </c>
      <c r="K152" s="14" t="str">
        <f t="shared" si="11"/>
        <v>27 (151)</v>
      </c>
      <c r="L152" s="14" t="str">
        <f t="shared" si="12"/>
        <v>27.31 (151.20)</v>
      </c>
    </row>
    <row r="153" spans="1:12" x14ac:dyDescent="0.25">
      <c r="A153" t="s">
        <v>85</v>
      </c>
      <c r="B153" t="s">
        <v>98</v>
      </c>
      <c r="C153" t="s">
        <v>105</v>
      </c>
      <c r="D153">
        <v>12.2733190034535</v>
      </c>
      <c r="E153">
        <v>54.460420392048199</v>
      </c>
      <c r="I153" s="13" t="str">
        <f t="shared" si="9"/>
        <v>TOPCROPBARLEYindem_amt</v>
      </c>
      <c r="J153" s="13">
        <f t="shared" si="10"/>
        <v>12.2733190034535</v>
      </c>
      <c r="K153" s="14" t="str">
        <f t="shared" si="11"/>
        <v>12 (54)</v>
      </c>
      <c r="L153" s="14" t="str">
        <f t="shared" si="12"/>
        <v>12.27 (54.46)</v>
      </c>
    </row>
    <row r="154" spans="1:12" x14ac:dyDescent="0.25">
      <c r="A154" t="s">
        <v>77</v>
      </c>
      <c r="B154" t="s">
        <v>77</v>
      </c>
      <c r="C154" t="s">
        <v>106</v>
      </c>
      <c r="D154">
        <v>0.13600819419215501</v>
      </c>
      <c r="E154">
        <v>0.10614708734355</v>
      </c>
      <c r="I154" s="13" t="str">
        <f t="shared" si="9"/>
        <v>FCIPFCIPRate</v>
      </c>
      <c r="J154" s="13">
        <f t="shared" si="10"/>
        <v>0.13600819419215501</v>
      </c>
      <c r="K154" s="14" t="str">
        <f t="shared" si="11"/>
        <v>0 (0)</v>
      </c>
      <c r="L154" s="14" t="str">
        <f t="shared" si="12"/>
        <v>0.14 (0.11)</v>
      </c>
    </row>
    <row r="155" spans="1:12" x14ac:dyDescent="0.25">
      <c r="A155" t="s">
        <v>79</v>
      </c>
      <c r="B155" t="s">
        <v>80</v>
      </c>
      <c r="C155" t="s">
        <v>106</v>
      </c>
      <c r="D155">
        <v>0.135432633982211</v>
      </c>
      <c r="E155">
        <v>0.10635281877968999</v>
      </c>
      <c r="I155" s="13" t="str">
        <f t="shared" si="9"/>
        <v>CGRPField CropsRate</v>
      </c>
      <c r="J155" s="13">
        <f t="shared" si="10"/>
        <v>0.135432633982211</v>
      </c>
      <c r="K155" s="14" t="str">
        <f t="shared" si="11"/>
        <v>0 (0)</v>
      </c>
      <c r="L155" s="14" t="str">
        <f t="shared" si="12"/>
        <v>0.14 (0.11)</v>
      </c>
    </row>
    <row r="156" spans="1:12" x14ac:dyDescent="0.25">
      <c r="A156" t="s">
        <v>79</v>
      </c>
      <c r="B156" t="s">
        <v>81</v>
      </c>
      <c r="C156" t="s">
        <v>106</v>
      </c>
      <c r="D156">
        <v>4.4400488521107499E-2</v>
      </c>
      <c r="E156">
        <v>3.0077805784959999E-2</v>
      </c>
      <c r="I156" s="13" t="str">
        <f t="shared" si="9"/>
        <v>CGRPNutsRate</v>
      </c>
      <c r="J156" s="13">
        <f t="shared" si="10"/>
        <v>4.4400488521107499E-2</v>
      </c>
      <c r="K156" s="14" t="str">
        <f t="shared" si="11"/>
        <v>0 (0)</v>
      </c>
      <c r="L156" s="14" t="str">
        <f t="shared" si="12"/>
        <v>0.04 (0.03)</v>
      </c>
    </row>
    <row r="157" spans="1:12" x14ac:dyDescent="0.25">
      <c r="A157" t="s">
        <v>79</v>
      </c>
      <c r="B157" t="s">
        <v>82</v>
      </c>
      <c r="C157" t="s">
        <v>106</v>
      </c>
      <c r="D157">
        <v>0.15680183112311399</v>
      </c>
      <c r="E157">
        <v>9.7500169391062902E-2</v>
      </c>
      <c r="I157" s="13" t="str">
        <f t="shared" si="9"/>
        <v>CGRPForagesRate</v>
      </c>
      <c r="J157" s="13">
        <f t="shared" si="10"/>
        <v>0.15680183112311399</v>
      </c>
      <c r="K157" s="14" t="str">
        <f t="shared" si="11"/>
        <v>0 (0)</v>
      </c>
      <c r="L157" s="14" t="str">
        <f t="shared" si="12"/>
        <v>0.16 (0.10)</v>
      </c>
    </row>
    <row r="158" spans="1:12" x14ac:dyDescent="0.25">
      <c r="A158" t="s">
        <v>79</v>
      </c>
      <c r="B158" t="s">
        <v>83</v>
      </c>
      <c r="C158" t="s">
        <v>106</v>
      </c>
      <c r="D158">
        <v>0.137854986456693</v>
      </c>
      <c r="E158">
        <v>0.152327810558673</v>
      </c>
      <c r="I158" s="13" t="str">
        <f t="shared" si="9"/>
        <v>CGRPFruitsRate</v>
      </c>
      <c r="J158" s="13">
        <f t="shared" si="10"/>
        <v>0.137854986456693</v>
      </c>
      <c r="K158" s="14" t="str">
        <f t="shared" si="11"/>
        <v>0 (0)</v>
      </c>
      <c r="L158" s="14" t="str">
        <f t="shared" si="12"/>
        <v>0.14 (0.15)</v>
      </c>
    </row>
    <row r="159" spans="1:12" x14ac:dyDescent="0.25">
      <c r="A159" t="s">
        <v>79</v>
      </c>
      <c r="B159" t="s">
        <v>84</v>
      </c>
      <c r="C159" t="s">
        <v>106</v>
      </c>
      <c r="D159">
        <v>0.14879599863541099</v>
      </c>
      <c r="E159">
        <v>9.8201140265445006E-2</v>
      </c>
      <c r="I159" s="13" t="str">
        <f t="shared" si="9"/>
        <v>CGRPVegetablesRate</v>
      </c>
      <c r="J159" s="13">
        <f t="shared" si="10"/>
        <v>0.14879599863541099</v>
      </c>
      <c r="K159" s="14" t="str">
        <f t="shared" si="11"/>
        <v>0 (0)</v>
      </c>
      <c r="L159" s="14" t="str">
        <f t="shared" si="12"/>
        <v>0.15 (0.10)</v>
      </c>
    </row>
    <row r="160" spans="1:12" x14ac:dyDescent="0.25">
      <c r="A160" t="s">
        <v>85</v>
      </c>
      <c r="B160" t="s">
        <v>86</v>
      </c>
      <c r="C160" t="s">
        <v>106</v>
      </c>
      <c r="D160">
        <v>0.16158859377413601</v>
      </c>
      <c r="E160">
        <v>0.10854360793045099</v>
      </c>
      <c r="I160" s="13" t="str">
        <f t="shared" ref="I160:I223" si="13">_xlfn.CONCAT(A160:C160)</f>
        <v>TOPCROPWHEATRate</v>
      </c>
      <c r="J160" s="13">
        <f t="shared" si="10"/>
        <v>0.16158859377413601</v>
      </c>
      <c r="K160" s="14" t="str">
        <f t="shared" si="11"/>
        <v>0 (0)</v>
      </c>
      <c r="L160" s="14" t="str">
        <f t="shared" si="12"/>
        <v>0.16 (0.11)</v>
      </c>
    </row>
    <row r="161" spans="1:12" x14ac:dyDescent="0.25">
      <c r="A161" t="s">
        <v>85</v>
      </c>
      <c r="B161" t="s">
        <v>87</v>
      </c>
      <c r="C161" t="s">
        <v>106</v>
      </c>
      <c r="D161">
        <v>0.175127646343746</v>
      </c>
      <c r="E161">
        <v>8.11247391428742E-2</v>
      </c>
      <c r="I161" s="13" t="str">
        <f t="shared" si="13"/>
        <v>TOPCROPCANOLARate</v>
      </c>
      <c r="J161" s="13">
        <f t="shared" si="10"/>
        <v>0.175127646343746</v>
      </c>
      <c r="K161" s="14" t="str">
        <f t="shared" si="11"/>
        <v>0 (0)</v>
      </c>
      <c r="L161" s="14" t="str">
        <f t="shared" si="12"/>
        <v>0.18 (0.08)</v>
      </c>
    </row>
    <row r="162" spans="1:12" x14ac:dyDescent="0.25">
      <c r="A162" t="s">
        <v>85</v>
      </c>
      <c r="B162" t="s">
        <v>88</v>
      </c>
      <c r="C162" t="s">
        <v>106</v>
      </c>
      <c r="D162">
        <v>0.13890319979985499</v>
      </c>
      <c r="E162">
        <v>0.110168035616966</v>
      </c>
      <c r="I162" s="13" t="str">
        <f t="shared" si="13"/>
        <v>TOPCROPOTHERRate</v>
      </c>
      <c r="J162" s="13">
        <f t="shared" si="10"/>
        <v>0.13890319979985499</v>
      </c>
      <c r="K162" s="14" t="str">
        <f t="shared" si="11"/>
        <v>0 (0)</v>
      </c>
      <c r="L162" s="14" t="str">
        <f t="shared" si="12"/>
        <v>0.14 (0.11)</v>
      </c>
    </row>
    <row r="163" spans="1:12" x14ac:dyDescent="0.25">
      <c r="A163" t="s">
        <v>85</v>
      </c>
      <c r="B163" t="s">
        <v>89</v>
      </c>
      <c r="C163" t="s">
        <v>106</v>
      </c>
      <c r="D163">
        <v>7.5682284639998307E-2</v>
      </c>
      <c r="E163">
        <v>5.58386616138353E-2</v>
      </c>
      <c r="I163" s="13" t="str">
        <f t="shared" si="13"/>
        <v>TOPCROPRICERate</v>
      </c>
      <c r="J163" s="13">
        <f t="shared" si="10"/>
        <v>7.5682284639998307E-2</v>
      </c>
      <c r="K163" s="14" t="str">
        <f t="shared" si="11"/>
        <v>0 (0)</v>
      </c>
      <c r="L163" s="14" t="str">
        <f t="shared" si="12"/>
        <v>0.08 (0.06)</v>
      </c>
    </row>
    <row r="164" spans="1:12" x14ac:dyDescent="0.25">
      <c r="A164" t="s">
        <v>85</v>
      </c>
      <c r="B164" t="s">
        <v>90</v>
      </c>
      <c r="C164" t="s">
        <v>106</v>
      </c>
      <c r="D164">
        <v>0.188618442768963</v>
      </c>
      <c r="E164">
        <v>0.14132196479689199</v>
      </c>
      <c r="I164" s="13" t="str">
        <f t="shared" si="13"/>
        <v>TOPCROPCOTTONRate</v>
      </c>
      <c r="J164" s="13">
        <f t="shared" si="10"/>
        <v>0.188618442768963</v>
      </c>
      <c r="K164" s="14" t="str">
        <f t="shared" si="11"/>
        <v>0 (0)</v>
      </c>
      <c r="L164" s="14" t="str">
        <f t="shared" si="12"/>
        <v>0.19 (0.14)</v>
      </c>
    </row>
    <row r="165" spans="1:12" x14ac:dyDescent="0.25">
      <c r="A165" t="s">
        <v>85</v>
      </c>
      <c r="B165" t="s">
        <v>91</v>
      </c>
      <c r="C165" t="s">
        <v>106</v>
      </c>
      <c r="D165">
        <v>6.1424150711211802E-2</v>
      </c>
      <c r="E165">
        <v>3.3046749843645501E-2</v>
      </c>
      <c r="I165" s="13" t="str">
        <f t="shared" si="13"/>
        <v>TOPCROPSUGAR BEETSRate</v>
      </c>
      <c r="J165" s="13">
        <f t="shared" si="10"/>
        <v>6.1424150711211802E-2</v>
      </c>
      <c r="K165" s="14" t="str">
        <f t="shared" si="11"/>
        <v>0 (0)</v>
      </c>
      <c r="L165" s="14" t="str">
        <f t="shared" si="12"/>
        <v>0.06 (0.03)</v>
      </c>
    </row>
    <row r="166" spans="1:12" x14ac:dyDescent="0.25">
      <c r="A166" t="s">
        <v>85</v>
      </c>
      <c r="B166" t="s">
        <v>92</v>
      </c>
      <c r="C166" t="s">
        <v>106</v>
      </c>
      <c r="D166">
        <v>0.112999725026478</v>
      </c>
      <c r="E166">
        <v>8.71678838110862E-2</v>
      </c>
      <c r="I166" s="13" t="str">
        <f t="shared" si="13"/>
        <v>TOPCROPCORNRate</v>
      </c>
      <c r="J166" s="13">
        <f t="shared" si="10"/>
        <v>0.112999725026478</v>
      </c>
      <c r="K166" s="14" t="str">
        <f t="shared" si="11"/>
        <v>0 (0)</v>
      </c>
      <c r="L166" s="14" t="str">
        <f t="shared" si="12"/>
        <v>0.11 (0.09)</v>
      </c>
    </row>
    <row r="167" spans="1:12" x14ac:dyDescent="0.25">
      <c r="A167" t="s">
        <v>85</v>
      </c>
      <c r="B167" t="s">
        <v>93</v>
      </c>
      <c r="C167" t="s">
        <v>106</v>
      </c>
      <c r="D167">
        <v>0.15009818913120601</v>
      </c>
      <c r="E167">
        <v>8.8887391248529596E-2</v>
      </c>
      <c r="I167" s="13" t="str">
        <f t="shared" si="13"/>
        <v>TOPCROPDRY BEANSRate</v>
      </c>
      <c r="J167" s="13">
        <f t="shared" si="10"/>
        <v>0.15009818913120601</v>
      </c>
      <c r="K167" s="14" t="str">
        <f t="shared" si="11"/>
        <v>0 (0)</v>
      </c>
      <c r="L167" s="14" t="str">
        <f t="shared" si="12"/>
        <v>0.15 (0.09)</v>
      </c>
    </row>
    <row r="168" spans="1:12" x14ac:dyDescent="0.25">
      <c r="A168" t="s">
        <v>85</v>
      </c>
      <c r="B168" t="s">
        <v>94</v>
      </c>
      <c r="C168" t="s">
        <v>106</v>
      </c>
      <c r="D168">
        <v>0.22589194108062199</v>
      </c>
      <c r="E168">
        <v>0.154959470390506</v>
      </c>
      <c r="I168" s="13" t="str">
        <f t="shared" si="13"/>
        <v>TOPCROPSORGHUMRate</v>
      </c>
      <c r="J168" s="13">
        <f t="shared" si="10"/>
        <v>0.22589194108062199</v>
      </c>
      <c r="K168" s="14" t="str">
        <f t="shared" si="11"/>
        <v>0 (0)</v>
      </c>
      <c r="L168" s="14" t="str">
        <f t="shared" si="12"/>
        <v>0.23 (0.15)</v>
      </c>
    </row>
    <row r="169" spans="1:12" x14ac:dyDescent="0.25">
      <c r="A169" t="s">
        <v>85</v>
      </c>
      <c r="B169" t="s">
        <v>95</v>
      </c>
      <c r="C169" t="s">
        <v>106</v>
      </c>
      <c r="D169">
        <v>0.166726314229631</v>
      </c>
      <c r="E169">
        <v>8.4042457348494998E-2</v>
      </c>
      <c r="I169" s="13" t="str">
        <f t="shared" si="13"/>
        <v>TOPCROPDRY PEASRate</v>
      </c>
      <c r="J169" s="13">
        <f t="shared" si="10"/>
        <v>0.166726314229631</v>
      </c>
      <c r="K169" s="14" t="str">
        <f t="shared" si="11"/>
        <v>0 (0)</v>
      </c>
      <c r="L169" s="14" t="str">
        <f t="shared" si="12"/>
        <v>0.17 (0.08)</v>
      </c>
    </row>
    <row r="170" spans="1:12" x14ac:dyDescent="0.25">
      <c r="A170" t="s">
        <v>85</v>
      </c>
      <c r="B170" t="s">
        <v>96</v>
      </c>
      <c r="C170" t="s">
        <v>106</v>
      </c>
      <c r="D170">
        <v>0.20559883974871701</v>
      </c>
      <c r="E170">
        <v>0.10765107736749301</v>
      </c>
      <c r="I170" s="13" t="str">
        <f t="shared" si="13"/>
        <v>TOPCROPSUNFLOWERSRate</v>
      </c>
      <c r="J170" s="13">
        <f t="shared" si="10"/>
        <v>0.20559883974871701</v>
      </c>
      <c r="K170" s="14" t="str">
        <f t="shared" si="11"/>
        <v>0 (0)</v>
      </c>
      <c r="L170" s="14" t="str">
        <f t="shared" si="12"/>
        <v>0.21 (0.11)</v>
      </c>
    </row>
    <row r="171" spans="1:12" x14ac:dyDescent="0.25">
      <c r="A171" t="s">
        <v>85</v>
      </c>
      <c r="B171" t="s">
        <v>97</v>
      </c>
      <c r="C171" t="s">
        <v>106</v>
      </c>
      <c r="D171">
        <v>0.11168430088869701</v>
      </c>
      <c r="E171">
        <v>8.6642999537881502E-2</v>
      </c>
      <c r="I171" s="13" t="str">
        <f t="shared" si="13"/>
        <v>TOPCROPSOYBEANSRate</v>
      </c>
      <c r="J171" s="13">
        <f t="shared" si="10"/>
        <v>0.11168430088869701</v>
      </c>
      <c r="K171" s="14" t="str">
        <f t="shared" si="11"/>
        <v>0 (0)</v>
      </c>
      <c r="L171" s="14" t="str">
        <f t="shared" si="12"/>
        <v>0.11 (0.09)</v>
      </c>
    </row>
    <row r="172" spans="1:12" x14ac:dyDescent="0.25">
      <c r="A172" t="s">
        <v>85</v>
      </c>
      <c r="B172" t="s">
        <v>98</v>
      </c>
      <c r="C172" t="s">
        <v>106</v>
      </c>
      <c r="D172">
        <v>0.15692001547956999</v>
      </c>
      <c r="E172">
        <v>0.10404687547008</v>
      </c>
      <c r="I172" s="13" t="str">
        <f t="shared" si="13"/>
        <v>TOPCROPBARLEYRate</v>
      </c>
      <c r="J172" s="13">
        <f t="shared" si="10"/>
        <v>0.15692001547956999</v>
      </c>
      <c r="K172" s="14" t="str">
        <f t="shared" si="11"/>
        <v>0 (0)</v>
      </c>
      <c r="L172" s="14" t="str">
        <f t="shared" si="12"/>
        <v>0.16 (0.10)</v>
      </c>
    </row>
    <row r="173" spans="1:12" x14ac:dyDescent="0.25">
      <c r="A173" t="s">
        <v>77</v>
      </c>
      <c r="B173" t="s">
        <v>77</v>
      </c>
      <c r="C173" t="s">
        <v>107</v>
      </c>
      <c r="D173">
        <v>0.60940251281157798</v>
      </c>
      <c r="E173">
        <v>9.6132936241085001E-2</v>
      </c>
      <c r="I173" s="13" t="str">
        <f t="shared" si="13"/>
        <v>FCIPFCIPSuby</v>
      </c>
      <c r="J173" s="13">
        <f t="shared" si="10"/>
        <v>0.60940251281157798</v>
      </c>
      <c r="K173" s="14" t="str">
        <f t="shared" si="11"/>
        <v>1 (0)</v>
      </c>
      <c r="L173" s="14" t="str">
        <f t="shared" si="12"/>
        <v>0.61 (0.10)</v>
      </c>
    </row>
    <row r="174" spans="1:12" x14ac:dyDescent="0.25">
      <c r="A174" t="s">
        <v>79</v>
      </c>
      <c r="B174" t="s">
        <v>80</v>
      </c>
      <c r="C174" t="s">
        <v>107</v>
      </c>
      <c r="D174">
        <v>0.60956761150767602</v>
      </c>
      <c r="E174">
        <v>9.7331837718074396E-2</v>
      </c>
      <c r="I174" s="13" t="str">
        <f t="shared" si="13"/>
        <v>CGRPField CropsSuby</v>
      </c>
      <c r="J174" s="13">
        <f t="shared" si="10"/>
        <v>0.60956761150767602</v>
      </c>
      <c r="K174" s="14" t="str">
        <f t="shared" si="11"/>
        <v>1 (0)</v>
      </c>
      <c r="L174" s="14" t="str">
        <f t="shared" si="12"/>
        <v>0.61 (0.10)</v>
      </c>
    </row>
    <row r="175" spans="1:12" x14ac:dyDescent="0.25">
      <c r="A175" t="s">
        <v>79</v>
      </c>
      <c r="B175" t="s">
        <v>81</v>
      </c>
      <c r="C175" t="s">
        <v>107</v>
      </c>
      <c r="D175">
        <v>0.596707905457459</v>
      </c>
      <c r="E175">
        <v>6.2139619972489901E-2</v>
      </c>
      <c r="I175" s="13" t="str">
        <f t="shared" si="13"/>
        <v>CGRPNutsSuby</v>
      </c>
      <c r="J175" s="13">
        <f t="shared" si="10"/>
        <v>0.596707905457459</v>
      </c>
      <c r="K175" s="14" t="str">
        <f t="shared" si="11"/>
        <v>1 (0)</v>
      </c>
      <c r="L175" s="14" t="str">
        <f t="shared" si="12"/>
        <v>0.60 (0.06)</v>
      </c>
    </row>
    <row r="176" spans="1:12" x14ac:dyDescent="0.25">
      <c r="A176" t="s">
        <v>79</v>
      </c>
      <c r="B176" t="s">
        <v>82</v>
      </c>
      <c r="C176" t="s">
        <v>107</v>
      </c>
      <c r="D176">
        <v>0.61841492811800103</v>
      </c>
      <c r="E176">
        <v>5.1913078239995102E-2</v>
      </c>
      <c r="I176" s="13" t="str">
        <f t="shared" si="13"/>
        <v>CGRPForagesSuby</v>
      </c>
      <c r="J176" s="13">
        <f t="shared" si="10"/>
        <v>0.61841492811800103</v>
      </c>
      <c r="K176" s="14" t="str">
        <f t="shared" si="11"/>
        <v>1 (0)</v>
      </c>
      <c r="L176" s="14" t="str">
        <f t="shared" si="12"/>
        <v>0.62 (0.05)</v>
      </c>
    </row>
    <row r="177" spans="1:12" x14ac:dyDescent="0.25">
      <c r="A177" t="s">
        <v>79</v>
      </c>
      <c r="B177" t="s">
        <v>83</v>
      </c>
      <c r="C177" t="s">
        <v>107</v>
      </c>
      <c r="D177">
        <v>0.61088478959292603</v>
      </c>
      <c r="E177">
        <v>5.1313544134811401E-2</v>
      </c>
      <c r="I177" s="13" t="str">
        <f t="shared" si="13"/>
        <v>CGRPFruitsSuby</v>
      </c>
      <c r="J177" s="13">
        <f t="shared" si="10"/>
        <v>0.61088478959292603</v>
      </c>
      <c r="K177" s="14" t="str">
        <f t="shared" si="11"/>
        <v>1 (0)</v>
      </c>
      <c r="L177" s="14" t="str">
        <f t="shared" si="12"/>
        <v>0.61 (0.05)</v>
      </c>
    </row>
    <row r="178" spans="1:12" x14ac:dyDescent="0.25">
      <c r="A178" t="s">
        <v>79</v>
      </c>
      <c r="B178" t="s">
        <v>84</v>
      </c>
      <c r="C178" t="s">
        <v>107</v>
      </c>
      <c r="D178">
        <v>0.60081684096301702</v>
      </c>
      <c r="E178">
        <v>7.7617547267913603E-2</v>
      </c>
      <c r="I178" s="13" t="str">
        <f t="shared" si="13"/>
        <v>CGRPVegetablesSuby</v>
      </c>
      <c r="J178" s="13">
        <f t="shared" si="10"/>
        <v>0.60081684096301702</v>
      </c>
      <c r="K178" s="14" t="str">
        <f t="shared" si="11"/>
        <v>1 (0)</v>
      </c>
      <c r="L178" s="14" t="str">
        <f t="shared" si="12"/>
        <v>0.60 (0.08)</v>
      </c>
    </row>
    <row r="179" spans="1:12" x14ac:dyDescent="0.25">
      <c r="A179" t="s">
        <v>85</v>
      </c>
      <c r="B179" t="s">
        <v>86</v>
      </c>
      <c r="C179" t="s">
        <v>107</v>
      </c>
      <c r="D179">
        <v>0.61004399122722497</v>
      </c>
      <c r="E179">
        <v>8.9067000824396503E-2</v>
      </c>
      <c r="I179" s="13" t="str">
        <f t="shared" si="13"/>
        <v>TOPCROPWHEATSuby</v>
      </c>
      <c r="J179" s="13">
        <f t="shared" si="10"/>
        <v>0.61004399122722497</v>
      </c>
      <c r="K179" s="14" t="str">
        <f t="shared" si="11"/>
        <v>1 (0)</v>
      </c>
      <c r="L179" s="14" t="str">
        <f t="shared" si="12"/>
        <v>0.61 (0.09)</v>
      </c>
    </row>
    <row r="180" spans="1:12" x14ac:dyDescent="0.25">
      <c r="A180" t="s">
        <v>85</v>
      </c>
      <c r="B180" t="s">
        <v>87</v>
      </c>
      <c r="C180" t="s">
        <v>107</v>
      </c>
      <c r="D180">
        <v>0.61341732693367901</v>
      </c>
      <c r="E180">
        <v>9.6599025151032206E-2</v>
      </c>
      <c r="I180" s="13" t="str">
        <f t="shared" si="13"/>
        <v>TOPCROPCANOLASuby</v>
      </c>
      <c r="J180" s="13">
        <f t="shared" si="10"/>
        <v>0.61341732693367901</v>
      </c>
      <c r="K180" s="14" t="str">
        <f t="shared" si="11"/>
        <v>1 (0)</v>
      </c>
      <c r="L180" s="14" t="str">
        <f t="shared" si="12"/>
        <v>0.61 (0.10)</v>
      </c>
    </row>
    <row r="181" spans="1:12" x14ac:dyDescent="0.25">
      <c r="A181" t="s">
        <v>85</v>
      </c>
      <c r="B181" t="s">
        <v>88</v>
      </c>
      <c r="C181" t="s">
        <v>107</v>
      </c>
      <c r="D181">
        <v>0.60644106108920903</v>
      </c>
      <c r="E181">
        <v>6.2836033274724895E-2</v>
      </c>
      <c r="I181" s="13" t="str">
        <f t="shared" si="13"/>
        <v>TOPCROPOTHERSuby</v>
      </c>
      <c r="J181" s="13">
        <f t="shared" si="10"/>
        <v>0.60644106108920903</v>
      </c>
      <c r="K181" s="14" t="str">
        <f t="shared" si="11"/>
        <v>1 (0)</v>
      </c>
      <c r="L181" s="14" t="str">
        <f t="shared" si="12"/>
        <v>0.61 (0.06)</v>
      </c>
    </row>
    <row r="182" spans="1:12" x14ac:dyDescent="0.25">
      <c r="A182" t="s">
        <v>85</v>
      </c>
      <c r="B182" t="s">
        <v>89</v>
      </c>
      <c r="C182" t="s">
        <v>107</v>
      </c>
      <c r="D182">
        <v>0.59818468039852701</v>
      </c>
      <c r="E182">
        <v>0.126367711896408</v>
      </c>
      <c r="I182" s="13" t="str">
        <f t="shared" si="13"/>
        <v>TOPCROPRICESuby</v>
      </c>
      <c r="J182" s="13">
        <f t="shared" si="10"/>
        <v>0.59818468039852701</v>
      </c>
      <c r="K182" s="14" t="str">
        <f t="shared" si="11"/>
        <v>1 (0)</v>
      </c>
      <c r="L182" s="14" t="str">
        <f t="shared" si="12"/>
        <v>0.60 (0.13)</v>
      </c>
    </row>
    <row r="183" spans="1:12" x14ac:dyDescent="0.25">
      <c r="A183" t="s">
        <v>85</v>
      </c>
      <c r="B183" t="s">
        <v>90</v>
      </c>
      <c r="C183" t="s">
        <v>107</v>
      </c>
      <c r="D183">
        <v>0.63695498825782504</v>
      </c>
      <c r="E183">
        <v>8.79237174944624E-2</v>
      </c>
      <c r="I183" s="13" t="str">
        <f t="shared" si="13"/>
        <v>TOPCROPCOTTONSuby</v>
      </c>
      <c r="J183" s="13">
        <f t="shared" si="10"/>
        <v>0.63695498825782504</v>
      </c>
      <c r="K183" s="14" t="str">
        <f t="shared" si="11"/>
        <v>1 (0)</v>
      </c>
      <c r="L183" s="14" t="str">
        <f t="shared" si="12"/>
        <v>0.64 (0.09)</v>
      </c>
    </row>
    <row r="184" spans="1:12" x14ac:dyDescent="0.25">
      <c r="A184" t="s">
        <v>85</v>
      </c>
      <c r="B184" t="s">
        <v>91</v>
      </c>
      <c r="C184" t="s">
        <v>107</v>
      </c>
      <c r="D184">
        <v>0.573914525173565</v>
      </c>
      <c r="E184">
        <v>7.5790856233631299E-2</v>
      </c>
      <c r="I184" s="13" t="str">
        <f t="shared" si="13"/>
        <v>TOPCROPSUGAR BEETSSuby</v>
      </c>
      <c r="J184" s="13">
        <f t="shared" si="10"/>
        <v>0.573914525173565</v>
      </c>
      <c r="K184" s="14" t="str">
        <f t="shared" si="11"/>
        <v>1 (0)</v>
      </c>
      <c r="L184" s="14" t="str">
        <f t="shared" si="12"/>
        <v>0.57 (0.08)</v>
      </c>
    </row>
    <row r="185" spans="1:12" x14ac:dyDescent="0.25">
      <c r="A185" t="s">
        <v>85</v>
      </c>
      <c r="B185" t="s">
        <v>92</v>
      </c>
      <c r="C185" t="s">
        <v>107</v>
      </c>
      <c r="D185">
        <v>0.60703919136963802</v>
      </c>
      <c r="E185">
        <v>0.102840384325767</v>
      </c>
      <c r="I185" s="13" t="str">
        <f t="shared" si="13"/>
        <v>TOPCROPCORNSuby</v>
      </c>
      <c r="J185" s="13">
        <f t="shared" si="10"/>
        <v>0.60703919136963802</v>
      </c>
      <c r="K185" s="14" t="str">
        <f t="shared" si="11"/>
        <v>1 (0)</v>
      </c>
      <c r="L185" s="14" t="str">
        <f t="shared" si="12"/>
        <v>0.61 (0.10)</v>
      </c>
    </row>
    <row r="186" spans="1:12" x14ac:dyDescent="0.25">
      <c r="A186" t="s">
        <v>85</v>
      </c>
      <c r="B186" t="s">
        <v>93</v>
      </c>
      <c r="C186" t="s">
        <v>107</v>
      </c>
      <c r="D186">
        <v>0.60515893846566005</v>
      </c>
      <c r="E186">
        <v>7.3318402820374301E-2</v>
      </c>
      <c r="I186" s="13" t="str">
        <f t="shared" si="13"/>
        <v>TOPCROPDRY BEANSSuby</v>
      </c>
      <c r="J186" s="13">
        <f t="shared" si="10"/>
        <v>0.60515893846566005</v>
      </c>
      <c r="K186" s="14" t="str">
        <f t="shared" si="11"/>
        <v>1 (0)</v>
      </c>
      <c r="L186" s="14" t="str">
        <f t="shared" si="12"/>
        <v>0.61 (0.07)</v>
      </c>
    </row>
    <row r="187" spans="1:12" x14ac:dyDescent="0.25">
      <c r="A187" t="s">
        <v>85</v>
      </c>
      <c r="B187" t="s">
        <v>94</v>
      </c>
      <c r="C187" t="s">
        <v>107</v>
      </c>
      <c r="D187">
        <v>0.62080327369647403</v>
      </c>
      <c r="E187">
        <v>7.7950063749722007E-2</v>
      </c>
      <c r="I187" s="13" t="str">
        <f t="shared" si="13"/>
        <v>TOPCROPSORGHUMSuby</v>
      </c>
      <c r="J187" s="13">
        <f t="shared" si="10"/>
        <v>0.62080327369647403</v>
      </c>
      <c r="K187" s="14" t="str">
        <f t="shared" si="11"/>
        <v>1 (0)</v>
      </c>
      <c r="L187" s="14" t="str">
        <f t="shared" si="12"/>
        <v>0.62 (0.08)</v>
      </c>
    </row>
    <row r="188" spans="1:12" x14ac:dyDescent="0.25">
      <c r="A188" t="s">
        <v>85</v>
      </c>
      <c r="B188" t="s">
        <v>95</v>
      </c>
      <c r="C188" t="s">
        <v>107</v>
      </c>
      <c r="D188">
        <v>0.60425052403046897</v>
      </c>
      <c r="E188">
        <v>8.9092743809501496E-2</v>
      </c>
      <c r="I188" s="13" t="str">
        <f t="shared" si="13"/>
        <v>TOPCROPDRY PEASSuby</v>
      </c>
      <c r="J188" s="13">
        <f t="shared" si="10"/>
        <v>0.60425052403046897</v>
      </c>
      <c r="K188" s="14" t="str">
        <f t="shared" si="11"/>
        <v>1 (0)</v>
      </c>
      <c r="L188" s="14" t="str">
        <f t="shared" si="12"/>
        <v>0.60 (0.09)</v>
      </c>
    </row>
    <row r="189" spans="1:12" x14ac:dyDescent="0.25">
      <c r="A189" t="s">
        <v>85</v>
      </c>
      <c r="B189" t="s">
        <v>96</v>
      </c>
      <c r="C189" t="s">
        <v>107</v>
      </c>
      <c r="D189">
        <v>0.61642745844277402</v>
      </c>
      <c r="E189">
        <v>7.4357684130770194E-2</v>
      </c>
      <c r="I189" s="13" t="str">
        <f t="shared" si="13"/>
        <v>TOPCROPSUNFLOWERSSuby</v>
      </c>
      <c r="J189" s="13">
        <f t="shared" si="10"/>
        <v>0.61642745844277402</v>
      </c>
      <c r="K189" s="14" t="str">
        <f t="shared" si="11"/>
        <v>1 (0)</v>
      </c>
      <c r="L189" s="14" t="str">
        <f t="shared" si="12"/>
        <v>0.62 (0.07)</v>
      </c>
    </row>
    <row r="190" spans="1:12" x14ac:dyDescent="0.25">
      <c r="A190" t="s">
        <v>85</v>
      </c>
      <c r="B190" t="s">
        <v>97</v>
      </c>
      <c r="C190" t="s">
        <v>107</v>
      </c>
      <c r="D190">
        <v>0.60625575553058897</v>
      </c>
      <c r="E190">
        <v>0.105605560491932</v>
      </c>
      <c r="I190" s="13" t="str">
        <f t="shared" si="13"/>
        <v>TOPCROPSOYBEANSSuby</v>
      </c>
      <c r="J190" s="13">
        <f t="shared" si="10"/>
        <v>0.60625575553058897</v>
      </c>
      <c r="K190" s="14" t="str">
        <f t="shared" si="11"/>
        <v>1 (0)</v>
      </c>
      <c r="L190" s="14" t="str">
        <f t="shared" si="12"/>
        <v>0.61 (0.11)</v>
      </c>
    </row>
    <row r="191" spans="1:12" x14ac:dyDescent="0.25">
      <c r="A191" t="s">
        <v>85</v>
      </c>
      <c r="B191" t="s">
        <v>98</v>
      </c>
      <c r="C191" t="s">
        <v>107</v>
      </c>
      <c r="D191">
        <v>0.60371423788774503</v>
      </c>
      <c r="E191">
        <v>9.0345289556775399E-2</v>
      </c>
      <c r="I191" s="13" t="str">
        <f t="shared" si="13"/>
        <v>TOPCROPBARLEYSuby</v>
      </c>
      <c r="J191" s="13">
        <f t="shared" si="10"/>
        <v>0.60371423788774503</v>
      </c>
      <c r="K191" s="14" t="str">
        <f t="shared" si="11"/>
        <v>1 (0)</v>
      </c>
      <c r="L191" s="14" t="str">
        <f t="shared" si="12"/>
        <v>0.60 (0.09)</v>
      </c>
    </row>
    <row r="192" spans="1:12" x14ac:dyDescent="0.25">
      <c r="A192" t="s">
        <v>77</v>
      </c>
      <c r="B192" t="s">
        <v>77</v>
      </c>
      <c r="C192" t="s">
        <v>108</v>
      </c>
      <c r="D192">
        <v>5.3973694032845597E-2</v>
      </c>
      <c r="E192">
        <v>4.5236341938940099E-2</v>
      </c>
      <c r="I192" s="13" t="str">
        <f t="shared" si="13"/>
        <v>FCIPFCIPRateP</v>
      </c>
      <c r="J192" s="13">
        <f t="shared" si="10"/>
        <v>5.3973694032845597E-2</v>
      </c>
      <c r="K192" s="14" t="str">
        <f t="shared" si="11"/>
        <v>0 (0)</v>
      </c>
      <c r="L192" s="14" t="str">
        <f t="shared" si="12"/>
        <v>0.05 (0.05)</v>
      </c>
    </row>
    <row r="193" spans="1:12" x14ac:dyDescent="0.25">
      <c r="A193" t="s">
        <v>79</v>
      </c>
      <c r="B193" t="s">
        <v>80</v>
      </c>
      <c r="C193" t="s">
        <v>108</v>
      </c>
      <c r="D193">
        <v>5.3754118327714602E-2</v>
      </c>
      <c r="E193">
        <v>4.5355379834354698E-2</v>
      </c>
      <c r="I193" s="13" t="str">
        <f t="shared" si="13"/>
        <v>CGRPField CropsRateP</v>
      </c>
      <c r="J193" s="13">
        <f t="shared" si="10"/>
        <v>5.3754118327714602E-2</v>
      </c>
      <c r="K193" s="14" t="str">
        <f t="shared" si="11"/>
        <v>0 (0)</v>
      </c>
      <c r="L193" s="14" t="str">
        <f t="shared" si="12"/>
        <v>0.05 (0.05)</v>
      </c>
    </row>
    <row r="194" spans="1:12" x14ac:dyDescent="0.25">
      <c r="A194" t="s">
        <v>79</v>
      </c>
      <c r="B194" t="s">
        <v>81</v>
      </c>
      <c r="C194" t="s">
        <v>108</v>
      </c>
      <c r="D194">
        <v>1.87699163962722E-2</v>
      </c>
      <c r="E194">
        <v>1.46646443671148E-2</v>
      </c>
      <c r="I194" s="13" t="str">
        <f t="shared" si="13"/>
        <v>CGRPNutsRateP</v>
      </c>
      <c r="J194" s="13">
        <f t="shared" si="10"/>
        <v>1.87699163962722E-2</v>
      </c>
      <c r="K194" s="14" t="str">
        <f t="shared" si="11"/>
        <v>0 (0)</v>
      </c>
      <c r="L194" s="14" t="str">
        <f t="shared" si="12"/>
        <v>0.02 (0.01)</v>
      </c>
    </row>
    <row r="195" spans="1:12" x14ac:dyDescent="0.25">
      <c r="A195" t="s">
        <v>79</v>
      </c>
      <c r="B195" t="s">
        <v>82</v>
      </c>
      <c r="C195" t="s">
        <v>108</v>
      </c>
      <c r="D195">
        <v>6.0252516230961103E-2</v>
      </c>
      <c r="E195">
        <v>3.95230372754602E-2</v>
      </c>
      <c r="I195" s="13" t="str">
        <f t="shared" si="13"/>
        <v>CGRPForagesRateP</v>
      </c>
      <c r="J195" s="13">
        <f t="shared" ref="J195:J258" si="14">D195</f>
        <v>6.0252516230961103E-2</v>
      </c>
      <c r="K195" s="14" t="str">
        <f t="shared" ref="K195:K258" si="15">TEXT(D195,"0")&amp;" ("&amp;TEXT(E195,"0")&amp;")"</f>
        <v>0 (0)</v>
      </c>
      <c r="L195" s="14" t="str">
        <f t="shared" ref="L195:L258" si="16">TEXT(D195,"0.00")&amp;" ("&amp;TEXT(E195,"0.00")&amp;")"</f>
        <v>0.06 (0.04)</v>
      </c>
    </row>
    <row r="196" spans="1:12" x14ac:dyDescent="0.25">
      <c r="A196" t="s">
        <v>79</v>
      </c>
      <c r="B196" t="s">
        <v>83</v>
      </c>
      <c r="C196" t="s">
        <v>108</v>
      </c>
      <c r="D196">
        <v>5.4055883415508099E-2</v>
      </c>
      <c r="E196">
        <v>6.1233724854105699E-2</v>
      </c>
      <c r="I196" s="13" t="str">
        <f t="shared" si="13"/>
        <v>CGRPFruitsRateP</v>
      </c>
      <c r="J196" s="13">
        <f t="shared" si="14"/>
        <v>5.4055883415508099E-2</v>
      </c>
      <c r="K196" s="14" t="str">
        <f t="shared" si="15"/>
        <v>0 (0)</v>
      </c>
      <c r="L196" s="14" t="str">
        <f t="shared" si="16"/>
        <v>0.05 (0.06)</v>
      </c>
    </row>
    <row r="197" spans="1:12" x14ac:dyDescent="0.25">
      <c r="A197" t="s">
        <v>79</v>
      </c>
      <c r="B197" t="s">
        <v>84</v>
      </c>
      <c r="C197" t="s">
        <v>108</v>
      </c>
      <c r="D197">
        <v>5.9693379887417797E-2</v>
      </c>
      <c r="E197">
        <v>4.2510178983869301E-2</v>
      </c>
      <c r="I197" s="13" t="str">
        <f t="shared" si="13"/>
        <v>CGRPVegetablesRateP</v>
      </c>
      <c r="J197" s="13">
        <f t="shared" si="14"/>
        <v>5.9693379887417797E-2</v>
      </c>
      <c r="K197" s="14" t="str">
        <f t="shared" si="15"/>
        <v>0 (0)</v>
      </c>
      <c r="L197" s="14" t="str">
        <f t="shared" si="16"/>
        <v>0.06 (0.04)</v>
      </c>
    </row>
    <row r="198" spans="1:12" x14ac:dyDescent="0.25">
      <c r="A198" t="s">
        <v>85</v>
      </c>
      <c r="B198" t="s">
        <v>86</v>
      </c>
      <c r="C198" t="s">
        <v>108</v>
      </c>
      <c r="D198">
        <v>6.3737184074812006E-2</v>
      </c>
      <c r="E198">
        <v>4.63394100939446E-2</v>
      </c>
      <c r="I198" s="13" t="str">
        <f t="shared" si="13"/>
        <v>TOPCROPWHEATRateP</v>
      </c>
      <c r="J198" s="13">
        <f t="shared" si="14"/>
        <v>6.3737184074812006E-2</v>
      </c>
      <c r="K198" s="14" t="str">
        <f t="shared" si="15"/>
        <v>0 (0)</v>
      </c>
      <c r="L198" s="14" t="str">
        <f t="shared" si="16"/>
        <v>0.06 (0.05)</v>
      </c>
    </row>
    <row r="199" spans="1:12" x14ac:dyDescent="0.25">
      <c r="A199" t="s">
        <v>85</v>
      </c>
      <c r="B199" t="s">
        <v>87</v>
      </c>
      <c r="C199" t="s">
        <v>108</v>
      </c>
      <c r="D199">
        <v>6.86438203513898E-2</v>
      </c>
      <c r="E199">
        <v>3.9619630555304299E-2</v>
      </c>
      <c r="I199" s="13" t="str">
        <f t="shared" si="13"/>
        <v>TOPCROPCANOLARateP</v>
      </c>
      <c r="J199" s="13">
        <f t="shared" si="14"/>
        <v>6.86438203513898E-2</v>
      </c>
      <c r="K199" s="14" t="str">
        <f t="shared" si="15"/>
        <v>0 (0)</v>
      </c>
      <c r="L199" s="14" t="str">
        <f t="shared" si="16"/>
        <v>0.07 (0.04)</v>
      </c>
    </row>
    <row r="200" spans="1:12" x14ac:dyDescent="0.25">
      <c r="A200" t="s">
        <v>85</v>
      </c>
      <c r="B200" t="s">
        <v>88</v>
      </c>
      <c r="C200" t="s">
        <v>108</v>
      </c>
      <c r="D200">
        <v>5.5329161151917501E-2</v>
      </c>
      <c r="E200">
        <v>4.5611914101274798E-2</v>
      </c>
      <c r="I200" s="13" t="str">
        <f t="shared" si="13"/>
        <v>TOPCROPOTHERRateP</v>
      </c>
      <c r="J200" s="13">
        <f t="shared" si="14"/>
        <v>5.5329161151917501E-2</v>
      </c>
      <c r="K200" s="14" t="str">
        <f t="shared" si="15"/>
        <v>0 (0)</v>
      </c>
      <c r="L200" s="14" t="str">
        <f t="shared" si="16"/>
        <v>0.06 (0.05)</v>
      </c>
    </row>
    <row r="201" spans="1:12" x14ac:dyDescent="0.25">
      <c r="A201" t="s">
        <v>85</v>
      </c>
      <c r="B201" t="s">
        <v>89</v>
      </c>
      <c r="C201" t="s">
        <v>108</v>
      </c>
      <c r="D201">
        <v>3.3255592729819199E-2</v>
      </c>
      <c r="E201">
        <v>3.1898485856307397E-2</v>
      </c>
      <c r="I201" s="13" t="str">
        <f t="shared" si="13"/>
        <v>TOPCROPRICERateP</v>
      </c>
      <c r="J201" s="13">
        <f t="shared" si="14"/>
        <v>3.3255592729819199E-2</v>
      </c>
      <c r="K201" s="14" t="str">
        <f t="shared" si="15"/>
        <v>0 (0)</v>
      </c>
      <c r="L201" s="14" t="str">
        <f t="shared" si="16"/>
        <v>0.03 (0.03)</v>
      </c>
    </row>
    <row r="202" spans="1:12" x14ac:dyDescent="0.25">
      <c r="A202" t="s">
        <v>85</v>
      </c>
      <c r="B202" t="s">
        <v>90</v>
      </c>
      <c r="C202" t="s">
        <v>108</v>
      </c>
      <c r="D202">
        <v>6.9934792651847696E-2</v>
      </c>
      <c r="E202">
        <v>5.7591086197097699E-2</v>
      </c>
      <c r="I202" s="13" t="str">
        <f t="shared" si="13"/>
        <v>TOPCROPCOTTONRateP</v>
      </c>
      <c r="J202" s="13">
        <f t="shared" si="14"/>
        <v>6.9934792651847696E-2</v>
      </c>
      <c r="K202" s="14" t="str">
        <f t="shared" si="15"/>
        <v>0 (0)</v>
      </c>
      <c r="L202" s="14" t="str">
        <f t="shared" si="16"/>
        <v>0.07 (0.06)</v>
      </c>
    </row>
    <row r="203" spans="1:12" x14ac:dyDescent="0.25">
      <c r="A203" t="s">
        <v>85</v>
      </c>
      <c r="B203" t="s">
        <v>91</v>
      </c>
      <c r="C203" t="s">
        <v>108</v>
      </c>
      <c r="D203">
        <v>2.74028861831579E-2</v>
      </c>
      <c r="E203">
        <v>1.8099032921611202E-2</v>
      </c>
      <c r="I203" s="13" t="str">
        <f t="shared" si="13"/>
        <v>TOPCROPSUGAR BEETSRateP</v>
      </c>
      <c r="J203" s="13">
        <f t="shared" si="14"/>
        <v>2.74028861831579E-2</v>
      </c>
      <c r="K203" s="14" t="str">
        <f t="shared" si="15"/>
        <v>0 (0)</v>
      </c>
      <c r="L203" s="14" t="str">
        <f t="shared" si="16"/>
        <v>0.03 (0.02)</v>
      </c>
    </row>
    <row r="204" spans="1:12" x14ac:dyDescent="0.25">
      <c r="A204" t="s">
        <v>85</v>
      </c>
      <c r="B204" t="s">
        <v>92</v>
      </c>
      <c r="C204" t="s">
        <v>108</v>
      </c>
      <c r="D204">
        <v>4.5472098482497302E-2</v>
      </c>
      <c r="E204">
        <v>3.8784913220936398E-2</v>
      </c>
      <c r="I204" s="13" t="str">
        <f t="shared" si="13"/>
        <v>TOPCROPCORNRateP</v>
      </c>
      <c r="J204" s="13">
        <f t="shared" si="14"/>
        <v>4.5472098482497302E-2</v>
      </c>
      <c r="K204" s="14" t="str">
        <f t="shared" si="15"/>
        <v>0 (0)</v>
      </c>
      <c r="L204" s="14" t="str">
        <f t="shared" si="16"/>
        <v>0.05 (0.04)</v>
      </c>
    </row>
    <row r="205" spans="1:12" x14ac:dyDescent="0.25">
      <c r="A205" t="s">
        <v>85</v>
      </c>
      <c r="B205" t="s">
        <v>93</v>
      </c>
      <c r="C205" t="s">
        <v>108</v>
      </c>
      <c r="D205">
        <v>6.0415389167437397E-2</v>
      </c>
      <c r="E205">
        <v>3.9995499231961197E-2</v>
      </c>
      <c r="I205" s="13" t="str">
        <f t="shared" si="13"/>
        <v>TOPCROPDRY BEANSRateP</v>
      </c>
      <c r="J205" s="13">
        <f t="shared" si="14"/>
        <v>6.0415389167437397E-2</v>
      </c>
      <c r="K205" s="14" t="str">
        <f t="shared" si="15"/>
        <v>0 (0)</v>
      </c>
      <c r="L205" s="14" t="str">
        <f t="shared" si="16"/>
        <v>0.06 (0.04)</v>
      </c>
    </row>
    <row r="206" spans="1:12" x14ac:dyDescent="0.25">
      <c r="A206" t="s">
        <v>85</v>
      </c>
      <c r="B206" t="s">
        <v>94</v>
      </c>
      <c r="C206" t="s">
        <v>108</v>
      </c>
      <c r="D206">
        <v>8.63740244330371E-2</v>
      </c>
      <c r="E206">
        <v>6.4194282434967595E-2</v>
      </c>
      <c r="I206" s="13" t="str">
        <f t="shared" si="13"/>
        <v>TOPCROPSORGHUMRateP</v>
      </c>
      <c r="J206" s="13">
        <f t="shared" si="14"/>
        <v>8.63740244330371E-2</v>
      </c>
      <c r="K206" s="14" t="str">
        <f t="shared" si="15"/>
        <v>0 (0)</v>
      </c>
      <c r="L206" s="14" t="str">
        <f t="shared" si="16"/>
        <v>0.09 (0.06)</v>
      </c>
    </row>
    <row r="207" spans="1:12" x14ac:dyDescent="0.25">
      <c r="A207" t="s">
        <v>85</v>
      </c>
      <c r="B207" t="s">
        <v>95</v>
      </c>
      <c r="C207" t="s">
        <v>108</v>
      </c>
      <c r="D207">
        <v>6.5986335561475998E-2</v>
      </c>
      <c r="E207">
        <v>3.7611300548228102E-2</v>
      </c>
      <c r="I207" s="13" t="str">
        <f t="shared" si="13"/>
        <v>TOPCROPDRY PEASRateP</v>
      </c>
      <c r="J207" s="13">
        <f t="shared" si="14"/>
        <v>6.5986335561475998E-2</v>
      </c>
      <c r="K207" s="14" t="str">
        <f t="shared" si="15"/>
        <v>0 (0)</v>
      </c>
      <c r="L207" s="14" t="str">
        <f t="shared" si="16"/>
        <v>0.07 (0.04)</v>
      </c>
    </row>
    <row r="208" spans="1:12" x14ac:dyDescent="0.25">
      <c r="A208" t="s">
        <v>85</v>
      </c>
      <c r="B208" t="s">
        <v>96</v>
      </c>
      <c r="C208" t="s">
        <v>108</v>
      </c>
      <c r="D208">
        <v>8.02164196310408E-2</v>
      </c>
      <c r="E208">
        <v>4.8940738531141399E-2</v>
      </c>
      <c r="I208" s="13" t="str">
        <f t="shared" si="13"/>
        <v>TOPCROPSUNFLOWERSRateP</v>
      </c>
      <c r="J208" s="13">
        <f t="shared" si="14"/>
        <v>8.02164196310408E-2</v>
      </c>
      <c r="K208" s="14" t="str">
        <f t="shared" si="15"/>
        <v>0 (0)</v>
      </c>
      <c r="L208" s="14" t="str">
        <f t="shared" si="16"/>
        <v>0.08 (0.05)</v>
      </c>
    </row>
    <row r="209" spans="1:12" x14ac:dyDescent="0.25">
      <c r="A209" t="s">
        <v>85</v>
      </c>
      <c r="B209" t="s">
        <v>97</v>
      </c>
      <c r="C209" t="s">
        <v>108</v>
      </c>
      <c r="D209">
        <v>4.5211485252420698E-2</v>
      </c>
      <c r="E209">
        <v>3.8810612820055497E-2</v>
      </c>
      <c r="I209" s="13" t="str">
        <f t="shared" si="13"/>
        <v>TOPCROPSOYBEANSRateP</v>
      </c>
      <c r="J209" s="13">
        <f t="shared" si="14"/>
        <v>4.5211485252420698E-2</v>
      </c>
      <c r="K209" s="14" t="str">
        <f t="shared" si="15"/>
        <v>0 (0)</v>
      </c>
      <c r="L209" s="14" t="str">
        <f t="shared" si="16"/>
        <v>0.05 (0.04)</v>
      </c>
    </row>
    <row r="210" spans="1:12" x14ac:dyDescent="0.25">
      <c r="A210" t="s">
        <v>85</v>
      </c>
      <c r="B210" t="s">
        <v>98</v>
      </c>
      <c r="C210" t="s">
        <v>108</v>
      </c>
      <c r="D210">
        <v>6.31369401622143E-2</v>
      </c>
      <c r="E210">
        <v>4.6753721256977902E-2</v>
      </c>
      <c r="I210" s="13" t="str">
        <f t="shared" si="13"/>
        <v>TOPCROPBARLEYRateP</v>
      </c>
      <c r="J210" s="13">
        <f t="shared" si="14"/>
        <v>6.31369401622143E-2</v>
      </c>
      <c r="K210" s="14" t="str">
        <f t="shared" si="15"/>
        <v>0 (0)</v>
      </c>
      <c r="L210" s="14" t="str">
        <f t="shared" si="16"/>
        <v>0.06 (0.05)</v>
      </c>
    </row>
    <row r="211" spans="1:12" x14ac:dyDescent="0.25">
      <c r="A211" t="s">
        <v>77</v>
      </c>
      <c r="B211" t="s">
        <v>77</v>
      </c>
      <c r="C211" t="s">
        <v>109</v>
      </c>
      <c r="D211">
        <v>368.21929895420499</v>
      </c>
      <c r="E211">
        <v>951.73696503390204</v>
      </c>
      <c r="I211" s="13" t="str">
        <f t="shared" si="13"/>
        <v>FCIPFCIPYcr</v>
      </c>
      <c r="J211" s="13">
        <f t="shared" si="14"/>
        <v>368.21929895420499</v>
      </c>
      <c r="K211" s="14" t="str">
        <f t="shared" si="15"/>
        <v>368 (952)</v>
      </c>
      <c r="L211" s="14" t="str">
        <f t="shared" si="16"/>
        <v>368.22 (951.74)</v>
      </c>
    </row>
    <row r="212" spans="1:12" x14ac:dyDescent="0.25">
      <c r="A212" t="s">
        <v>79</v>
      </c>
      <c r="B212" t="s">
        <v>80</v>
      </c>
      <c r="C212" t="s">
        <v>109</v>
      </c>
      <c r="D212">
        <v>319.17724348018697</v>
      </c>
      <c r="E212">
        <v>932.91940074141405</v>
      </c>
      <c r="I212" s="13" t="str">
        <f t="shared" si="13"/>
        <v>CGRPField CropsYcr</v>
      </c>
      <c r="J212" s="13">
        <f t="shared" si="14"/>
        <v>319.17724348018697</v>
      </c>
      <c r="K212" s="14" t="str">
        <f t="shared" si="15"/>
        <v>319 (933)</v>
      </c>
      <c r="L212" s="14" t="str">
        <f t="shared" si="16"/>
        <v>319.18 (932.92)</v>
      </c>
    </row>
    <row r="213" spans="1:12" x14ac:dyDescent="0.25">
      <c r="A213" t="s">
        <v>79</v>
      </c>
      <c r="B213" t="s">
        <v>81</v>
      </c>
      <c r="C213" t="s">
        <v>109</v>
      </c>
      <c r="D213">
        <v>2298.85681610247</v>
      </c>
      <c r="E213">
        <v>1124.7488846973599</v>
      </c>
      <c r="I213" s="13" t="str">
        <f t="shared" si="13"/>
        <v>CGRPNutsYcr</v>
      </c>
      <c r="J213" s="13">
        <f t="shared" si="14"/>
        <v>2298.85681610247</v>
      </c>
      <c r="K213" s="14" t="str">
        <f t="shared" si="15"/>
        <v>2299 (1125)</v>
      </c>
      <c r="L213" s="14" t="str">
        <f t="shared" si="16"/>
        <v>2298.86 (1124.75)</v>
      </c>
    </row>
    <row r="214" spans="1:12" x14ac:dyDescent="0.25">
      <c r="A214" t="s">
        <v>79</v>
      </c>
      <c r="B214" t="s">
        <v>82</v>
      </c>
      <c r="C214" t="s">
        <v>109</v>
      </c>
      <c r="D214">
        <v>28.968371274606799</v>
      </c>
      <c r="E214">
        <v>131.82185771492399</v>
      </c>
      <c r="I214" s="13" t="str">
        <f t="shared" si="13"/>
        <v>CGRPForagesYcr</v>
      </c>
      <c r="J214" s="13">
        <f t="shared" si="14"/>
        <v>28.968371274606799</v>
      </c>
      <c r="K214" s="14" t="str">
        <f t="shared" si="15"/>
        <v>29 (132)</v>
      </c>
      <c r="L214" s="14" t="str">
        <f t="shared" si="16"/>
        <v>28.97 (131.82)</v>
      </c>
    </row>
    <row r="215" spans="1:12" x14ac:dyDescent="0.25">
      <c r="A215" t="s">
        <v>79</v>
      </c>
      <c r="B215" t="s">
        <v>83</v>
      </c>
      <c r="C215" t="s">
        <v>109</v>
      </c>
      <c r="D215">
        <v>229.701586582049</v>
      </c>
      <c r="E215">
        <v>261.343797048993</v>
      </c>
      <c r="I215" s="13" t="str">
        <f t="shared" si="13"/>
        <v>CGRPFruitsYcr</v>
      </c>
      <c r="J215" s="13">
        <f t="shared" si="14"/>
        <v>229.701586582049</v>
      </c>
      <c r="K215" s="14" t="str">
        <f t="shared" si="15"/>
        <v>230 (261)</v>
      </c>
      <c r="L215" s="14" t="str">
        <f t="shared" si="16"/>
        <v>229.70 (261.34)</v>
      </c>
    </row>
    <row r="216" spans="1:12" x14ac:dyDescent="0.25">
      <c r="A216" t="s">
        <v>79</v>
      </c>
      <c r="B216" t="s">
        <v>84</v>
      </c>
      <c r="C216" t="s">
        <v>109</v>
      </c>
      <c r="D216">
        <v>1351.15797822627</v>
      </c>
      <c r="E216">
        <v>903.31997820901699</v>
      </c>
      <c r="I216" s="13" t="str">
        <f t="shared" si="13"/>
        <v>CGRPVegetablesYcr</v>
      </c>
      <c r="J216" s="13">
        <f t="shared" si="14"/>
        <v>1351.15797822627</v>
      </c>
      <c r="K216" s="14" t="str">
        <f t="shared" si="15"/>
        <v>1351 (903)</v>
      </c>
      <c r="L216" s="14" t="str">
        <f t="shared" si="16"/>
        <v>1351.16 (903.32)</v>
      </c>
    </row>
    <row r="217" spans="1:12" x14ac:dyDescent="0.25">
      <c r="A217" t="s">
        <v>85</v>
      </c>
      <c r="B217" t="s">
        <v>86</v>
      </c>
      <c r="C217" t="s">
        <v>109</v>
      </c>
      <c r="D217">
        <v>42.449780124324803</v>
      </c>
      <c r="E217">
        <v>17.366128961034601</v>
      </c>
      <c r="I217" s="13" t="str">
        <f t="shared" si="13"/>
        <v>TOPCROPWHEATYcr</v>
      </c>
      <c r="J217" s="13">
        <f t="shared" si="14"/>
        <v>42.449780124324803</v>
      </c>
      <c r="K217" s="14" t="str">
        <f t="shared" si="15"/>
        <v>42 (17)</v>
      </c>
      <c r="L217" s="14" t="str">
        <f t="shared" si="16"/>
        <v>42.45 (17.37)</v>
      </c>
    </row>
    <row r="218" spans="1:12" x14ac:dyDescent="0.25">
      <c r="A218" t="s">
        <v>85</v>
      </c>
      <c r="B218" t="s">
        <v>87</v>
      </c>
      <c r="C218" t="s">
        <v>109</v>
      </c>
      <c r="D218">
        <v>1275.6535960417</v>
      </c>
      <c r="E218">
        <v>408.11508055624898</v>
      </c>
      <c r="I218" s="13" t="str">
        <f t="shared" si="13"/>
        <v>TOPCROPCANOLAYcr</v>
      </c>
      <c r="J218" s="13">
        <f t="shared" si="14"/>
        <v>1275.6535960417</v>
      </c>
      <c r="K218" s="14" t="str">
        <f t="shared" si="15"/>
        <v>1276 (408)</v>
      </c>
      <c r="L218" s="14" t="str">
        <f t="shared" si="16"/>
        <v>1275.65 (408.12)</v>
      </c>
    </row>
    <row r="219" spans="1:12" x14ac:dyDescent="0.25">
      <c r="A219" t="s">
        <v>85</v>
      </c>
      <c r="B219" t="s">
        <v>88</v>
      </c>
      <c r="C219" t="s">
        <v>109</v>
      </c>
      <c r="D219">
        <v>824.03036660751798</v>
      </c>
      <c r="E219">
        <v>1299.0093829017201</v>
      </c>
      <c r="I219" s="13" t="str">
        <f t="shared" si="13"/>
        <v>TOPCROPOTHERYcr</v>
      </c>
      <c r="J219" s="13">
        <f t="shared" si="14"/>
        <v>824.03036660751798</v>
      </c>
      <c r="K219" s="14" t="str">
        <f t="shared" si="15"/>
        <v>824 (1299)</v>
      </c>
      <c r="L219" s="14" t="str">
        <f t="shared" si="16"/>
        <v>824.03 (1299.01)</v>
      </c>
    </row>
    <row r="220" spans="1:12" x14ac:dyDescent="0.25">
      <c r="A220" t="s">
        <v>85</v>
      </c>
      <c r="B220" t="s">
        <v>89</v>
      </c>
      <c r="C220" t="s">
        <v>109</v>
      </c>
      <c r="D220">
        <v>6170.0331737800798</v>
      </c>
      <c r="E220">
        <v>1649.5516150702899</v>
      </c>
      <c r="I220" s="13" t="str">
        <f t="shared" si="13"/>
        <v>TOPCROPRICEYcr</v>
      </c>
      <c r="J220" s="13">
        <f t="shared" si="14"/>
        <v>6170.0331737800798</v>
      </c>
      <c r="K220" s="14" t="str">
        <f t="shared" si="15"/>
        <v>6170 (1650)</v>
      </c>
      <c r="L220" s="14" t="str">
        <f t="shared" si="16"/>
        <v>6170.03 (1649.55)</v>
      </c>
    </row>
    <row r="221" spans="1:12" x14ac:dyDescent="0.25">
      <c r="A221" t="s">
        <v>85</v>
      </c>
      <c r="B221" t="s">
        <v>90</v>
      </c>
      <c r="C221" t="s">
        <v>109</v>
      </c>
      <c r="D221">
        <v>613.41441606676096</v>
      </c>
      <c r="E221">
        <v>261.12645233281302</v>
      </c>
      <c r="I221" s="13" t="str">
        <f t="shared" si="13"/>
        <v>TOPCROPCOTTONYcr</v>
      </c>
      <c r="J221" s="13">
        <f t="shared" si="14"/>
        <v>613.41441606676096</v>
      </c>
      <c r="K221" s="14" t="str">
        <f t="shared" si="15"/>
        <v>613 (261)</v>
      </c>
      <c r="L221" s="14" t="str">
        <f t="shared" si="16"/>
        <v>613.41 (261.13)</v>
      </c>
    </row>
    <row r="222" spans="1:12" x14ac:dyDescent="0.25">
      <c r="A222" t="s">
        <v>85</v>
      </c>
      <c r="B222" t="s">
        <v>91</v>
      </c>
      <c r="C222" t="s">
        <v>109</v>
      </c>
      <c r="D222">
        <v>2284.7416864205902</v>
      </c>
      <c r="E222">
        <v>4076.6156166947999</v>
      </c>
      <c r="I222" s="13" t="str">
        <f t="shared" si="13"/>
        <v>TOPCROPSUGAR BEETSYcr</v>
      </c>
      <c r="J222" s="13">
        <f t="shared" si="14"/>
        <v>2284.7416864205902</v>
      </c>
      <c r="K222" s="14" t="str">
        <f t="shared" si="15"/>
        <v>2285 (4077)</v>
      </c>
      <c r="L222" s="14" t="str">
        <f t="shared" si="16"/>
        <v>2284.74 (4076.62)</v>
      </c>
    </row>
    <row r="223" spans="1:12" x14ac:dyDescent="0.25">
      <c r="A223" t="s">
        <v>85</v>
      </c>
      <c r="B223" t="s">
        <v>92</v>
      </c>
      <c r="C223" t="s">
        <v>109</v>
      </c>
      <c r="D223">
        <v>193.30934304117699</v>
      </c>
      <c r="E223">
        <v>548.10877059114398</v>
      </c>
      <c r="I223" s="13" t="str">
        <f t="shared" si="13"/>
        <v>TOPCROPCORNYcr</v>
      </c>
      <c r="J223" s="13">
        <f t="shared" si="14"/>
        <v>193.30934304117699</v>
      </c>
      <c r="K223" s="14" t="str">
        <f t="shared" si="15"/>
        <v>193 (548)</v>
      </c>
      <c r="L223" s="14" t="str">
        <f t="shared" si="16"/>
        <v>193.31 (548.11)</v>
      </c>
    </row>
    <row r="224" spans="1:12" x14ac:dyDescent="0.25">
      <c r="A224" t="s">
        <v>85</v>
      </c>
      <c r="B224" t="s">
        <v>93</v>
      </c>
      <c r="C224" t="s">
        <v>109</v>
      </c>
      <c r="D224">
        <v>1541.8706976266301</v>
      </c>
      <c r="E224">
        <v>438.89367596287099</v>
      </c>
      <c r="I224" s="13" t="str">
        <f t="shared" ref="I224:I259" si="17">_xlfn.CONCAT(A224:C224)</f>
        <v>TOPCROPDRY BEANSYcr</v>
      </c>
      <c r="J224" s="13">
        <f t="shared" si="14"/>
        <v>1541.8706976266301</v>
      </c>
      <c r="K224" s="14" t="str">
        <f t="shared" si="15"/>
        <v>1542 (439)</v>
      </c>
      <c r="L224" s="14" t="str">
        <f t="shared" si="16"/>
        <v>1541.87 (438.89)</v>
      </c>
    </row>
    <row r="225" spans="1:12" x14ac:dyDescent="0.25">
      <c r="A225" t="s">
        <v>85</v>
      </c>
      <c r="B225" t="s">
        <v>94</v>
      </c>
      <c r="C225" t="s">
        <v>109</v>
      </c>
      <c r="D225">
        <v>56.742238972640997</v>
      </c>
      <c r="E225">
        <v>23.849116465998598</v>
      </c>
      <c r="I225" s="13" t="str">
        <f t="shared" si="17"/>
        <v>TOPCROPSORGHUMYcr</v>
      </c>
      <c r="J225" s="13">
        <f t="shared" si="14"/>
        <v>56.742238972640997</v>
      </c>
      <c r="K225" s="14" t="str">
        <f t="shared" si="15"/>
        <v>57 (24)</v>
      </c>
      <c r="L225" s="14" t="str">
        <f t="shared" si="16"/>
        <v>56.74 (23.85)</v>
      </c>
    </row>
    <row r="226" spans="1:12" x14ac:dyDescent="0.25">
      <c r="A226" t="s">
        <v>85</v>
      </c>
      <c r="B226" t="s">
        <v>95</v>
      </c>
      <c r="C226" t="s">
        <v>109</v>
      </c>
      <c r="D226">
        <v>1810.3821179241299</v>
      </c>
      <c r="E226">
        <v>1087.27006878526</v>
      </c>
      <c r="I226" s="13" t="str">
        <f t="shared" si="17"/>
        <v>TOPCROPDRY PEASYcr</v>
      </c>
      <c r="J226" s="13">
        <f t="shared" si="14"/>
        <v>1810.3821179241299</v>
      </c>
      <c r="K226" s="14" t="str">
        <f t="shared" si="15"/>
        <v>1810 (1087)</v>
      </c>
      <c r="L226" s="14" t="str">
        <f t="shared" si="16"/>
        <v>1810.38 (1087.27)</v>
      </c>
    </row>
    <row r="227" spans="1:12" x14ac:dyDescent="0.25">
      <c r="A227" t="s">
        <v>85</v>
      </c>
      <c r="B227" t="s">
        <v>96</v>
      </c>
      <c r="C227" t="s">
        <v>109</v>
      </c>
      <c r="D227">
        <v>1217.2842054728801</v>
      </c>
      <c r="E227">
        <v>299.74471944886199</v>
      </c>
      <c r="I227" s="13" t="str">
        <f t="shared" si="17"/>
        <v>TOPCROPSUNFLOWERSYcr</v>
      </c>
      <c r="J227" s="13">
        <f t="shared" si="14"/>
        <v>1217.2842054728801</v>
      </c>
      <c r="K227" s="14" t="str">
        <f t="shared" si="15"/>
        <v>1217 (300)</v>
      </c>
      <c r="L227" s="14" t="str">
        <f t="shared" si="16"/>
        <v>1217.28 (299.74)</v>
      </c>
    </row>
    <row r="228" spans="1:12" x14ac:dyDescent="0.25">
      <c r="A228" t="s">
        <v>85</v>
      </c>
      <c r="B228" t="s">
        <v>97</v>
      </c>
      <c r="C228" t="s">
        <v>109</v>
      </c>
      <c r="D228">
        <v>35.6156977908689</v>
      </c>
      <c r="E228">
        <v>10.6628210354974</v>
      </c>
      <c r="I228" s="13" t="str">
        <f t="shared" si="17"/>
        <v>TOPCROPSOYBEANSYcr</v>
      </c>
      <c r="J228" s="13">
        <f t="shared" si="14"/>
        <v>35.6156977908689</v>
      </c>
      <c r="K228" s="14" t="str">
        <f t="shared" si="15"/>
        <v>36 (11)</v>
      </c>
      <c r="L228" s="14" t="str">
        <f t="shared" si="16"/>
        <v>35.62 (10.66)</v>
      </c>
    </row>
    <row r="229" spans="1:12" x14ac:dyDescent="0.25">
      <c r="A229" t="s">
        <v>85</v>
      </c>
      <c r="B229" t="s">
        <v>98</v>
      </c>
      <c r="C229" t="s">
        <v>109</v>
      </c>
      <c r="D229">
        <v>54.507794238070403</v>
      </c>
      <c r="E229">
        <v>23.767392505407599</v>
      </c>
      <c r="I229" s="13" t="str">
        <f t="shared" si="17"/>
        <v>TOPCROPBARLEYYcr</v>
      </c>
      <c r="J229" s="13">
        <f t="shared" si="14"/>
        <v>54.507794238070403</v>
      </c>
      <c r="K229" s="14" t="str">
        <f t="shared" si="15"/>
        <v>55 (24)</v>
      </c>
      <c r="L229" s="14" t="str">
        <f t="shared" si="16"/>
        <v>54.51 (23.77)</v>
      </c>
    </row>
    <row r="230" spans="1:12" x14ac:dyDescent="0.25">
      <c r="A230" t="s">
        <v>77</v>
      </c>
      <c r="B230" t="s">
        <v>77</v>
      </c>
      <c r="C230" t="s">
        <v>110</v>
      </c>
      <c r="D230">
        <v>-1.3929346946346499</v>
      </c>
      <c r="E230">
        <v>0.56855953322726205</v>
      </c>
      <c r="I230" s="13" t="str">
        <f t="shared" si="17"/>
        <v>FCIPFCIPExpo</v>
      </c>
      <c r="J230" s="13">
        <f t="shared" si="14"/>
        <v>-1.3929346946346499</v>
      </c>
      <c r="K230" s="14" t="str">
        <f t="shared" si="15"/>
        <v>-1 (1)</v>
      </c>
      <c r="L230" s="14" t="str">
        <f t="shared" si="16"/>
        <v>-1.39 (0.57)</v>
      </c>
    </row>
    <row r="231" spans="1:12" x14ac:dyDescent="0.25">
      <c r="A231" t="s">
        <v>79</v>
      </c>
      <c r="B231" t="s">
        <v>80</v>
      </c>
      <c r="C231" t="s">
        <v>110</v>
      </c>
      <c r="D231">
        <v>-1.43074761948023</v>
      </c>
      <c r="E231">
        <v>0.53166011537952296</v>
      </c>
      <c r="I231" s="13" t="str">
        <f t="shared" si="17"/>
        <v>CGRPField CropsExpo</v>
      </c>
      <c r="J231" s="13">
        <f t="shared" si="14"/>
        <v>-1.43074761948023</v>
      </c>
      <c r="K231" s="14" t="str">
        <f t="shared" si="15"/>
        <v>-1 (1)</v>
      </c>
      <c r="L231" s="14" t="str">
        <f t="shared" si="16"/>
        <v>-1.43 (0.53)</v>
      </c>
    </row>
    <row r="232" spans="1:12" x14ac:dyDescent="0.25">
      <c r="A232" t="s">
        <v>79</v>
      </c>
      <c r="B232" t="s">
        <v>81</v>
      </c>
      <c r="C232" t="s">
        <v>110</v>
      </c>
      <c r="D232">
        <v>-1.0336230558096999</v>
      </c>
      <c r="E232">
        <v>0.64967195067760697</v>
      </c>
      <c r="I232" s="13" t="str">
        <f t="shared" si="17"/>
        <v>CGRPNutsExpo</v>
      </c>
      <c r="J232" s="13">
        <f t="shared" si="14"/>
        <v>-1.0336230558096999</v>
      </c>
      <c r="K232" s="14" t="str">
        <f t="shared" si="15"/>
        <v>-1 (1)</v>
      </c>
      <c r="L232" s="14" t="str">
        <f t="shared" si="16"/>
        <v>-1.03 (0.65)</v>
      </c>
    </row>
    <row r="233" spans="1:12" x14ac:dyDescent="0.25">
      <c r="A233" t="s">
        <v>79</v>
      </c>
      <c r="B233" t="s">
        <v>82</v>
      </c>
      <c r="C233" t="s">
        <v>110</v>
      </c>
      <c r="D233">
        <v>-0.76942290773122202</v>
      </c>
      <c r="E233">
        <v>0.82698152294113603</v>
      </c>
      <c r="I233" s="13" t="str">
        <f t="shared" si="17"/>
        <v>CGRPForagesExpo</v>
      </c>
      <c r="J233" s="13">
        <f t="shared" si="14"/>
        <v>-0.76942290773122202</v>
      </c>
      <c r="K233" s="14" t="str">
        <f t="shared" si="15"/>
        <v>-1 (1)</v>
      </c>
      <c r="L233" s="14" t="str">
        <f t="shared" si="16"/>
        <v>-0.77 (0.83)</v>
      </c>
    </row>
    <row r="234" spans="1:12" x14ac:dyDescent="0.25">
      <c r="A234" t="s">
        <v>79</v>
      </c>
      <c r="B234" t="s">
        <v>83</v>
      </c>
      <c r="C234" t="s">
        <v>110</v>
      </c>
      <c r="D234">
        <v>-0.160281958295558</v>
      </c>
      <c r="E234">
        <v>0.353204261254986</v>
      </c>
      <c r="I234" s="13" t="str">
        <f t="shared" si="17"/>
        <v>CGRPFruitsExpo</v>
      </c>
      <c r="J234" s="13">
        <f t="shared" si="14"/>
        <v>-0.160281958295558</v>
      </c>
      <c r="K234" s="14" t="str">
        <f t="shared" si="15"/>
        <v>0 (0)</v>
      </c>
      <c r="L234" s="14" t="str">
        <f t="shared" si="16"/>
        <v>-0.16 (0.35)</v>
      </c>
    </row>
    <row r="235" spans="1:12" x14ac:dyDescent="0.25">
      <c r="A235" t="s">
        <v>79</v>
      </c>
      <c r="B235" t="s">
        <v>84</v>
      </c>
      <c r="C235" t="s">
        <v>110</v>
      </c>
      <c r="D235">
        <v>-1.0851004319381601</v>
      </c>
      <c r="E235">
        <v>0.70806684706613798</v>
      </c>
      <c r="I235" s="13" t="str">
        <f t="shared" si="17"/>
        <v>CGRPVegetablesExpo</v>
      </c>
      <c r="J235" s="13">
        <f t="shared" si="14"/>
        <v>-1.0851004319381601</v>
      </c>
      <c r="K235" s="14" t="str">
        <f t="shared" si="15"/>
        <v>-1 (1)</v>
      </c>
      <c r="L235" s="14" t="str">
        <f t="shared" si="16"/>
        <v>-1.09 (0.71)</v>
      </c>
    </row>
    <row r="236" spans="1:12" x14ac:dyDescent="0.25">
      <c r="A236" t="s">
        <v>85</v>
      </c>
      <c r="B236" t="s">
        <v>86</v>
      </c>
      <c r="C236" t="s">
        <v>110</v>
      </c>
      <c r="D236">
        <v>-1.5034361885501799</v>
      </c>
      <c r="E236">
        <v>0.48995331143083698</v>
      </c>
      <c r="I236" s="13" t="str">
        <f t="shared" si="17"/>
        <v>TOPCROPWHEATExpo</v>
      </c>
      <c r="J236" s="13">
        <f t="shared" si="14"/>
        <v>-1.5034361885501799</v>
      </c>
      <c r="K236" s="14" t="str">
        <f t="shared" si="15"/>
        <v>-2 (0)</v>
      </c>
      <c r="L236" s="14" t="str">
        <f t="shared" si="16"/>
        <v>-1.50 (0.49)</v>
      </c>
    </row>
    <row r="237" spans="1:12" x14ac:dyDescent="0.25">
      <c r="A237" t="s">
        <v>85</v>
      </c>
      <c r="B237" t="s">
        <v>87</v>
      </c>
      <c r="C237" t="s">
        <v>110</v>
      </c>
      <c r="D237">
        <v>-1.3915933910584899</v>
      </c>
      <c r="E237">
        <v>0.61056955217854803</v>
      </c>
      <c r="I237" s="13" t="str">
        <f t="shared" si="17"/>
        <v>TOPCROPCANOLAExpo</v>
      </c>
      <c r="J237" s="13">
        <f t="shared" si="14"/>
        <v>-1.3915933910584899</v>
      </c>
      <c r="K237" s="14" t="str">
        <f t="shared" si="15"/>
        <v>-1 (1)</v>
      </c>
      <c r="L237" s="14" t="str">
        <f t="shared" si="16"/>
        <v>-1.39 (0.61)</v>
      </c>
    </row>
    <row r="238" spans="1:12" x14ac:dyDescent="0.25">
      <c r="A238" t="s">
        <v>85</v>
      </c>
      <c r="B238" t="s">
        <v>88</v>
      </c>
      <c r="C238" t="s">
        <v>110</v>
      </c>
      <c r="D238">
        <v>-1.07648381522332</v>
      </c>
      <c r="E238">
        <v>0.66100094856891201</v>
      </c>
      <c r="I238" s="13" t="str">
        <f t="shared" si="17"/>
        <v>TOPCROPOTHERExpo</v>
      </c>
      <c r="J238" s="13">
        <f t="shared" si="14"/>
        <v>-1.07648381522332</v>
      </c>
      <c r="K238" s="14" t="str">
        <f t="shared" si="15"/>
        <v>-1 (1)</v>
      </c>
      <c r="L238" s="14" t="str">
        <f t="shared" si="16"/>
        <v>-1.08 (0.66)</v>
      </c>
    </row>
    <row r="239" spans="1:12" x14ac:dyDescent="0.25">
      <c r="A239" t="s">
        <v>85</v>
      </c>
      <c r="B239" t="s">
        <v>89</v>
      </c>
      <c r="C239" t="s">
        <v>110</v>
      </c>
      <c r="D239">
        <v>-1.2471320303151201</v>
      </c>
      <c r="E239">
        <v>0.62777068925186597</v>
      </c>
      <c r="I239" s="13" t="str">
        <f t="shared" si="17"/>
        <v>TOPCROPRICEExpo</v>
      </c>
      <c r="J239" s="13">
        <f t="shared" si="14"/>
        <v>-1.2471320303151201</v>
      </c>
      <c r="K239" s="14" t="str">
        <f t="shared" si="15"/>
        <v>-1 (1)</v>
      </c>
      <c r="L239" s="14" t="str">
        <f t="shared" si="16"/>
        <v>-1.25 (0.63)</v>
      </c>
    </row>
    <row r="240" spans="1:12" x14ac:dyDescent="0.25">
      <c r="A240" t="s">
        <v>85</v>
      </c>
      <c r="B240" t="s">
        <v>90</v>
      </c>
      <c r="C240" t="s">
        <v>110</v>
      </c>
      <c r="D240">
        <v>-1.03870209546517</v>
      </c>
      <c r="E240">
        <v>0.365248731393917</v>
      </c>
      <c r="I240" s="13" t="str">
        <f t="shared" si="17"/>
        <v>TOPCROPCOTTONExpo</v>
      </c>
      <c r="J240" s="13">
        <f t="shared" si="14"/>
        <v>-1.03870209546517</v>
      </c>
      <c r="K240" s="14" t="str">
        <f t="shared" si="15"/>
        <v>-1 (0)</v>
      </c>
      <c r="L240" s="14" t="str">
        <f t="shared" si="16"/>
        <v>-1.04 (0.37)</v>
      </c>
    </row>
    <row r="241" spans="1:12" x14ac:dyDescent="0.25">
      <c r="A241" t="s">
        <v>85</v>
      </c>
      <c r="B241" t="s">
        <v>91</v>
      </c>
      <c r="C241" t="s">
        <v>110</v>
      </c>
      <c r="D241">
        <v>-1.50863054520826</v>
      </c>
      <c r="E241">
        <v>0.537128170350194</v>
      </c>
      <c r="I241" s="13" t="str">
        <f t="shared" si="17"/>
        <v>TOPCROPSUGAR BEETSExpo</v>
      </c>
      <c r="J241" s="13">
        <f t="shared" si="14"/>
        <v>-1.50863054520826</v>
      </c>
      <c r="K241" s="14" t="str">
        <f t="shared" si="15"/>
        <v>-2 (1)</v>
      </c>
      <c r="L241" s="14" t="str">
        <f t="shared" si="16"/>
        <v>-1.51 (0.54)</v>
      </c>
    </row>
    <row r="242" spans="1:12" x14ac:dyDescent="0.25">
      <c r="A242" t="s">
        <v>85</v>
      </c>
      <c r="B242" t="s">
        <v>92</v>
      </c>
      <c r="C242" t="s">
        <v>110</v>
      </c>
      <c r="D242">
        <v>-1.4034630836488899</v>
      </c>
      <c r="E242">
        <v>0.57023253497390702</v>
      </c>
      <c r="I242" s="13" t="str">
        <f t="shared" si="17"/>
        <v>TOPCROPCORNExpo</v>
      </c>
      <c r="J242" s="13">
        <f t="shared" si="14"/>
        <v>-1.4034630836488899</v>
      </c>
      <c r="K242" s="14" t="str">
        <f t="shared" si="15"/>
        <v>-1 (1)</v>
      </c>
      <c r="L242" s="14" t="str">
        <f t="shared" si="16"/>
        <v>-1.40 (0.57)</v>
      </c>
    </row>
    <row r="243" spans="1:12" x14ac:dyDescent="0.25">
      <c r="A243" t="s">
        <v>85</v>
      </c>
      <c r="B243" t="s">
        <v>93</v>
      </c>
      <c r="C243" t="s">
        <v>110</v>
      </c>
      <c r="D243">
        <v>-1.3260239905476201</v>
      </c>
      <c r="E243">
        <v>0.666760216897897</v>
      </c>
      <c r="I243" s="13" t="str">
        <f t="shared" si="17"/>
        <v>TOPCROPDRY BEANSExpo</v>
      </c>
      <c r="J243" s="13">
        <f t="shared" si="14"/>
        <v>-1.3260239905476201</v>
      </c>
      <c r="K243" s="14" t="str">
        <f t="shared" si="15"/>
        <v>-1 (1)</v>
      </c>
      <c r="L243" s="14" t="str">
        <f t="shared" si="16"/>
        <v>-1.33 (0.67)</v>
      </c>
    </row>
    <row r="244" spans="1:12" x14ac:dyDescent="0.25">
      <c r="A244" t="s">
        <v>85</v>
      </c>
      <c r="B244" t="s">
        <v>94</v>
      </c>
      <c r="C244" t="s">
        <v>110</v>
      </c>
      <c r="D244">
        <v>-1.3967780104224801</v>
      </c>
      <c r="E244">
        <v>0.58399072961151399</v>
      </c>
      <c r="I244" s="13" t="str">
        <f t="shared" si="17"/>
        <v>TOPCROPSORGHUMExpo</v>
      </c>
      <c r="J244" s="13">
        <f t="shared" si="14"/>
        <v>-1.3967780104224801</v>
      </c>
      <c r="K244" s="14" t="str">
        <f t="shared" si="15"/>
        <v>-1 (1)</v>
      </c>
      <c r="L244" s="14" t="str">
        <f t="shared" si="16"/>
        <v>-1.40 (0.58)</v>
      </c>
    </row>
    <row r="245" spans="1:12" x14ac:dyDescent="0.25">
      <c r="A245" t="s">
        <v>85</v>
      </c>
      <c r="B245" t="s">
        <v>95</v>
      </c>
      <c r="C245" t="s">
        <v>110</v>
      </c>
      <c r="D245">
        <v>-0.655570863823703</v>
      </c>
      <c r="E245">
        <v>0.64238080421461896</v>
      </c>
      <c r="I245" s="13" t="str">
        <f t="shared" si="17"/>
        <v>TOPCROPDRY PEASExpo</v>
      </c>
      <c r="J245" s="13">
        <f t="shared" si="14"/>
        <v>-0.655570863823703</v>
      </c>
      <c r="K245" s="14" t="str">
        <f t="shared" si="15"/>
        <v>-1 (1)</v>
      </c>
      <c r="L245" s="14" t="str">
        <f t="shared" si="16"/>
        <v>-0.66 (0.64)</v>
      </c>
    </row>
    <row r="246" spans="1:12" x14ac:dyDescent="0.25">
      <c r="A246" t="s">
        <v>85</v>
      </c>
      <c r="B246" t="s">
        <v>96</v>
      </c>
      <c r="C246" t="s">
        <v>110</v>
      </c>
      <c r="D246">
        <v>-1.5398425948151699</v>
      </c>
      <c r="E246">
        <v>0.56999927005611395</v>
      </c>
      <c r="I246" s="13" t="str">
        <f t="shared" si="17"/>
        <v>TOPCROPSUNFLOWERSExpo</v>
      </c>
      <c r="J246" s="13">
        <f t="shared" si="14"/>
        <v>-1.5398425948151699</v>
      </c>
      <c r="K246" s="14" t="str">
        <f t="shared" si="15"/>
        <v>-2 (1)</v>
      </c>
      <c r="L246" s="14" t="str">
        <f t="shared" si="16"/>
        <v>-1.54 (0.57)</v>
      </c>
    </row>
    <row r="247" spans="1:12" x14ac:dyDescent="0.25">
      <c r="A247" t="s">
        <v>85</v>
      </c>
      <c r="B247" t="s">
        <v>97</v>
      </c>
      <c r="C247" t="s">
        <v>110</v>
      </c>
      <c r="D247">
        <v>-1.5849332724595</v>
      </c>
      <c r="E247">
        <v>0.44139645963729002</v>
      </c>
      <c r="I247" s="13" t="str">
        <f t="shared" si="17"/>
        <v>TOPCROPSOYBEANSExpo</v>
      </c>
      <c r="J247" s="13">
        <f t="shared" si="14"/>
        <v>-1.5849332724595</v>
      </c>
      <c r="K247" s="14" t="str">
        <f t="shared" si="15"/>
        <v>-2 (0)</v>
      </c>
      <c r="L247" s="14" t="str">
        <f t="shared" si="16"/>
        <v>-1.58 (0.44)</v>
      </c>
    </row>
    <row r="248" spans="1:12" x14ac:dyDescent="0.25">
      <c r="A248" t="s">
        <v>85</v>
      </c>
      <c r="B248" t="s">
        <v>98</v>
      </c>
      <c r="C248" t="s">
        <v>110</v>
      </c>
      <c r="D248">
        <v>-1.3980053599344899</v>
      </c>
      <c r="E248">
        <v>0.497748107510952</v>
      </c>
      <c r="I248" s="13" t="str">
        <f t="shared" si="17"/>
        <v>TOPCROPBARLEYExpo</v>
      </c>
      <c r="J248" s="13">
        <f t="shared" si="14"/>
        <v>-1.3980053599344899</v>
      </c>
      <c r="K248" s="14" t="str">
        <f t="shared" si="15"/>
        <v>-1 (0)</v>
      </c>
      <c r="L248" s="14" t="str">
        <f t="shared" si="16"/>
        <v>-1.40 (0.50)</v>
      </c>
    </row>
    <row r="249" spans="1:12" x14ac:dyDescent="0.25">
      <c r="A249" t="s">
        <v>77</v>
      </c>
      <c r="B249" t="s">
        <v>77</v>
      </c>
      <c r="C249" t="s">
        <v>111</v>
      </c>
      <c r="D249">
        <v>3.0109713379540201E-2</v>
      </c>
      <c r="E249">
        <v>1.58827403725018E-2</v>
      </c>
      <c r="I249" s="13" t="str">
        <f t="shared" si="17"/>
        <v>FCIPFCIPRr</v>
      </c>
      <c r="J249" s="13">
        <f t="shared" si="14"/>
        <v>3.0109713379540201E-2</v>
      </c>
      <c r="K249" s="14" t="str">
        <f t="shared" si="15"/>
        <v>0 (0)</v>
      </c>
      <c r="L249" s="14" t="str">
        <f t="shared" si="16"/>
        <v>0.03 (0.02)</v>
      </c>
    </row>
    <row r="250" spans="1:12" x14ac:dyDescent="0.25">
      <c r="A250" t="s">
        <v>79</v>
      </c>
      <c r="B250" t="s">
        <v>80</v>
      </c>
      <c r="C250" t="s">
        <v>111</v>
      </c>
      <c r="D250">
        <v>3.0183457303951399E-2</v>
      </c>
      <c r="E250">
        <v>1.5948958162187998E-2</v>
      </c>
      <c r="I250" s="13" t="str">
        <f t="shared" si="17"/>
        <v>CGRPField CropsRr</v>
      </c>
      <c r="J250" s="13">
        <f t="shared" si="14"/>
        <v>3.0183457303951399E-2</v>
      </c>
      <c r="K250" s="14" t="str">
        <f t="shared" si="15"/>
        <v>0 (0)</v>
      </c>
      <c r="L250" s="14" t="str">
        <f t="shared" si="16"/>
        <v>0.03 (0.02)</v>
      </c>
    </row>
    <row r="251" spans="1:12" x14ac:dyDescent="0.25">
      <c r="A251" t="s">
        <v>79</v>
      </c>
      <c r="B251" t="s">
        <v>81</v>
      </c>
      <c r="C251" t="s">
        <v>111</v>
      </c>
      <c r="D251">
        <v>1.0775114364135399E-2</v>
      </c>
      <c r="E251">
        <v>1.13167904654268E-2</v>
      </c>
      <c r="I251" s="13" t="str">
        <f t="shared" si="17"/>
        <v>CGRPNutsRr</v>
      </c>
      <c r="J251" s="13">
        <f t="shared" si="14"/>
        <v>1.0775114364135399E-2</v>
      </c>
      <c r="K251" s="14" t="str">
        <f t="shared" si="15"/>
        <v>0 (0)</v>
      </c>
      <c r="L251" s="14" t="str">
        <f t="shared" si="16"/>
        <v>0.01 (0.01)</v>
      </c>
    </row>
    <row r="252" spans="1:12" x14ac:dyDescent="0.25">
      <c r="A252" t="s">
        <v>79</v>
      </c>
      <c r="B252" t="s">
        <v>82</v>
      </c>
      <c r="C252" t="s">
        <v>111</v>
      </c>
      <c r="D252">
        <v>2.4811283404816899E-2</v>
      </c>
      <c r="E252">
        <v>1.15520848330202E-2</v>
      </c>
      <c r="I252" s="13" t="str">
        <f t="shared" si="17"/>
        <v>CGRPForagesRr</v>
      </c>
      <c r="J252" s="13">
        <f t="shared" si="14"/>
        <v>2.4811283404816899E-2</v>
      </c>
      <c r="K252" s="14" t="str">
        <f t="shared" si="15"/>
        <v>0 (0)</v>
      </c>
      <c r="L252" s="14" t="str">
        <f t="shared" si="16"/>
        <v>0.02 (0.01)</v>
      </c>
    </row>
    <row r="253" spans="1:12" x14ac:dyDescent="0.25">
      <c r="A253" t="s">
        <v>79</v>
      </c>
      <c r="B253" t="s">
        <v>83</v>
      </c>
      <c r="C253" t="s">
        <v>111</v>
      </c>
      <c r="D253">
        <v>2.4332638259292799E-2</v>
      </c>
      <c r="E253">
        <v>1.8742836455240799E-2</v>
      </c>
      <c r="I253" s="13" t="str">
        <f t="shared" si="17"/>
        <v>CGRPFruitsRr</v>
      </c>
      <c r="J253" s="13">
        <f t="shared" si="14"/>
        <v>2.4332638259292799E-2</v>
      </c>
      <c r="K253" s="14" t="str">
        <f t="shared" si="15"/>
        <v>0 (0)</v>
      </c>
      <c r="L253" s="14" t="str">
        <f t="shared" si="16"/>
        <v>0.02 (0.02)</v>
      </c>
    </row>
    <row r="254" spans="1:12" x14ac:dyDescent="0.25">
      <c r="A254" t="s">
        <v>79</v>
      </c>
      <c r="B254" t="s">
        <v>84</v>
      </c>
      <c r="C254" t="s">
        <v>111</v>
      </c>
      <c r="D254">
        <v>3.2087130263456998E-2</v>
      </c>
      <c r="E254">
        <v>1.5433086910566499E-2</v>
      </c>
      <c r="I254" s="13" t="str">
        <f t="shared" si="17"/>
        <v>CGRPVegetablesRr</v>
      </c>
      <c r="J254" s="13">
        <f t="shared" si="14"/>
        <v>3.2087130263456998E-2</v>
      </c>
      <c r="K254" s="14" t="str">
        <f t="shared" si="15"/>
        <v>0 (0)</v>
      </c>
      <c r="L254" s="14" t="str">
        <f t="shared" si="16"/>
        <v>0.03 (0.02)</v>
      </c>
    </row>
    <row r="255" spans="1:12" x14ac:dyDescent="0.25">
      <c r="A255" t="s">
        <v>85</v>
      </c>
      <c r="B255" t="s">
        <v>86</v>
      </c>
      <c r="C255" t="s">
        <v>111</v>
      </c>
      <c r="D255">
        <v>3.4145508157116103E-2</v>
      </c>
      <c r="E255">
        <v>1.53141884472482E-2</v>
      </c>
      <c r="I255" s="13" t="str">
        <f t="shared" si="17"/>
        <v>TOPCROPWHEATRr</v>
      </c>
      <c r="J255" s="13">
        <f t="shared" si="14"/>
        <v>3.4145508157116103E-2</v>
      </c>
      <c r="K255" s="14" t="str">
        <f t="shared" si="15"/>
        <v>0 (0)</v>
      </c>
      <c r="L255" s="14" t="str">
        <f t="shared" si="16"/>
        <v>0.03 (0.02)</v>
      </c>
    </row>
    <row r="256" spans="1:12" x14ac:dyDescent="0.25">
      <c r="A256" t="s">
        <v>85</v>
      </c>
      <c r="B256" t="s">
        <v>87</v>
      </c>
      <c r="C256" t="s">
        <v>111</v>
      </c>
      <c r="D256">
        <v>4.18729280791659E-2</v>
      </c>
      <c r="E256">
        <v>1.7016738960196599E-2</v>
      </c>
      <c r="I256" s="13" t="str">
        <f t="shared" si="17"/>
        <v>TOPCROPCANOLARr</v>
      </c>
      <c r="J256" s="13">
        <f t="shared" si="14"/>
        <v>4.18729280791659E-2</v>
      </c>
      <c r="K256" s="14" t="str">
        <f t="shared" si="15"/>
        <v>0 (0)</v>
      </c>
      <c r="L256" s="14" t="str">
        <f t="shared" si="16"/>
        <v>0.04 (0.02)</v>
      </c>
    </row>
    <row r="257" spans="1:12" x14ac:dyDescent="0.25">
      <c r="A257" t="s">
        <v>85</v>
      </c>
      <c r="B257" t="s">
        <v>88</v>
      </c>
      <c r="C257" t="s">
        <v>111</v>
      </c>
      <c r="D257">
        <v>2.81827470628487E-2</v>
      </c>
      <c r="E257">
        <v>1.4526731797085199E-2</v>
      </c>
      <c r="I257" s="13" t="str">
        <f t="shared" si="17"/>
        <v>TOPCROPOTHERRr</v>
      </c>
      <c r="J257" s="13">
        <f t="shared" si="14"/>
        <v>2.81827470628487E-2</v>
      </c>
      <c r="K257" s="14" t="str">
        <f t="shared" si="15"/>
        <v>0 (0)</v>
      </c>
      <c r="L257" s="14" t="str">
        <f t="shared" si="16"/>
        <v>0.03 (0.01)</v>
      </c>
    </row>
    <row r="258" spans="1:12" x14ac:dyDescent="0.25">
      <c r="A258" t="s">
        <v>85</v>
      </c>
      <c r="B258" t="s">
        <v>89</v>
      </c>
      <c r="C258" t="s">
        <v>111</v>
      </c>
      <c r="D258">
        <v>2.0974338518814001E-2</v>
      </c>
      <c r="E258">
        <v>1.03015556518238E-2</v>
      </c>
      <c r="I258" s="13" t="str">
        <f t="shared" si="17"/>
        <v>TOPCROPRICERr</v>
      </c>
      <c r="J258" s="13">
        <f t="shared" si="14"/>
        <v>2.0974338518814001E-2</v>
      </c>
      <c r="K258" s="14" t="str">
        <f t="shared" si="15"/>
        <v>0 (0)</v>
      </c>
      <c r="L258" s="14" t="str">
        <f t="shared" si="16"/>
        <v>0.02 (0.01)</v>
      </c>
    </row>
    <row r="259" spans="1:12" x14ac:dyDescent="0.25">
      <c r="A259" t="s">
        <v>85</v>
      </c>
      <c r="B259" t="s">
        <v>90</v>
      </c>
      <c r="C259" t="s">
        <v>111</v>
      </c>
      <c r="D259">
        <v>3.3468182860287E-2</v>
      </c>
      <c r="E259">
        <v>1.3305605029740399E-2</v>
      </c>
      <c r="I259" s="13" t="str">
        <f t="shared" si="17"/>
        <v>TOPCROPCOTTONRr</v>
      </c>
      <c r="J259" s="13">
        <f t="shared" ref="J259" si="18">D259</f>
        <v>3.3468182860287E-2</v>
      </c>
      <c r="K259" s="14" t="str">
        <f t="shared" ref="K259:K322" si="19">TEXT(D259,"0")&amp;" ("&amp;TEXT(E259,"0")&amp;")"</f>
        <v>0 (0)</v>
      </c>
      <c r="L259" s="14" t="str">
        <f t="shared" ref="L259:L322" si="20">TEXT(D259,"0.00")&amp;" ("&amp;TEXT(E259,"0.00")&amp;")"</f>
        <v>0.03 (0.01)</v>
      </c>
    </row>
    <row r="260" spans="1:12" x14ac:dyDescent="0.25">
      <c r="A260" t="s">
        <v>85</v>
      </c>
      <c r="B260" t="s">
        <v>91</v>
      </c>
      <c r="C260" t="s">
        <v>111</v>
      </c>
      <c r="D260">
        <v>2.05802235015239E-2</v>
      </c>
      <c r="E260">
        <v>1.0634880947545101E-2</v>
      </c>
      <c r="I260" s="13" t="str">
        <f t="shared" ref="I260:I323" si="21">_xlfn.CONCAT(A260:C260)</f>
        <v>TOPCROPSUGAR BEETSRr</v>
      </c>
      <c r="J260" s="13">
        <f t="shared" ref="J260:J323" si="22">D260</f>
        <v>2.05802235015239E-2</v>
      </c>
      <c r="K260" s="14" t="str">
        <f t="shared" si="19"/>
        <v>0 (0)</v>
      </c>
      <c r="L260" s="14" t="str">
        <f t="shared" si="20"/>
        <v>0.02 (0.01)</v>
      </c>
    </row>
    <row r="261" spans="1:12" x14ac:dyDescent="0.25">
      <c r="A261" t="s">
        <v>85</v>
      </c>
      <c r="B261" t="s">
        <v>92</v>
      </c>
      <c r="C261" t="s">
        <v>111</v>
      </c>
      <c r="D261">
        <v>2.74961867459763E-2</v>
      </c>
      <c r="E261">
        <v>1.57882240477107E-2</v>
      </c>
      <c r="I261" s="13" t="str">
        <f t="shared" si="21"/>
        <v>TOPCROPCORNRr</v>
      </c>
      <c r="J261" s="13">
        <f t="shared" si="22"/>
        <v>2.74961867459763E-2</v>
      </c>
      <c r="K261" s="14" t="str">
        <f t="shared" si="19"/>
        <v>0 (0)</v>
      </c>
      <c r="L261" s="14" t="str">
        <f t="shared" si="20"/>
        <v>0.03 (0.02)</v>
      </c>
    </row>
    <row r="262" spans="1:12" x14ac:dyDescent="0.25">
      <c r="A262" t="s">
        <v>85</v>
      </c>
      <c r="B262" t="s">
        <v>93</v>
      </c>
      <c r="C262" t="s">
        <v>111</v>
      </c>
      <c r="D262">
        <v>3.7595047775608799E-2</v>
      </c>
      <c r="E262">
        <v>1.4556420225167699E-2</v>
      </c>
      <c r="I262" s="13" t="str">
        <f t="shared" si="21"/>
        <v>TOPCROPDRY BEANSRr</v>
      </c>
      <c r="J262" s="13">
        <f t="shared" si="22"/>
        <v>3.7595047775608799E-2</v>
      </c>
      <c r="K262" s="14" t="str">
        <f t="shared" si="19"/>
        <v>0 (0)</v>
      </c>
      <c r="L262" s="14" t="str">
        <f t="shared" si="20"/>
        <v>0.04 (0.01)</v>
      </c>
    </row>
    <row r="263" spans="1:12" x14ac:dyDescent="0.25">
      <c r="A263" t="s">
        <v>85</v>
      </c>
      <c r="B263" t="s">
        <v>94</v>
      </c>
      <c r="C263" t="s">
        <v>111</v>
      </c>
      <c r="D263">
        <v>4.39068002047273E-2</v>
      </c>
      <c r="E263">
        <v>1.56311918804985E-2</v>
      </c>
      <c r="I263" s="13" t="str">
        <f t="shared" si="21"/>
        <v>TOPCROPSORGHUMRr</v>
      </c>
      <c r="J263" s="13">
        <f t="shared" si="22"/>
        <v>4.39068002047273E-2</v>
      </c>
      <c r="K263" s="14" t="str">
        <f t="shared" si="19"/>
        <v>0 (0)</v>
      </c>
      <c r="L263" s="14" t="str">
        <f t="shared" si="20"/>
        <v>0.04 (0.02)</v>
      </c>
    </row>
    <row r="264" spans="1:12" x14ac:dyDescent="0.25">
      <c r="A264" t="s">
        <v>85</v>
      </c>
      <c r="B264" t="s">
        <v>95</v>
      </c>
      <c r="C264" t="s">
        <v>111</v>
      </c>
      <c r="D264">
        <v>2.9158516275548801E-2</v>
      </c>
      <c r="E264">
        <v>1.3586671273383101E-2</v>
      </c>
      <c r="I264" s="13" t="str">
        <f t="shared" si="21"/>
        <v>TOPCROPDRY PEASRr</v>
      </c>
      <c r="J264" s="13">
        <f t="shared" si="22"/>
        <v>2.9158516275548801E-2</v>
      </c>
      <c r="K264" s="14" t="str">
        <f t="shared" si="19"/>
        <v>0 (0)</v>
      </c>
      <c r="L264" s="14" t="str">
        <f t="shared" si="20"/>
        <v>0.03 (0.01)</v>
      </c>
    </row>
    <row r="265" spans="1:12" x14ac:dyDescent="0.25">
      <c r="A265" t="s">
        <v>85</v>
      </c>
      <c r="B265" t="s">
        <v>96</v>
      </c>
      <c r="C265" t="s">
        <v>111</v>
      </c>
      <c r="D265">
        <v>4.4221735477676397E-2</v>
      </c>
      <c r="E265">
        <v>1.37655470035573E-2</v>
      </c>
      <c r="I265" s="13" t="str">
        <f t="shared" si="21"/>
        <v>TOPCROPSUNFLOWERSRr</v>
      </c>
      <c r="J265" s="13">
        <f t="shared" si="22"/>
        <v>4.4221735477676397E-2</v>
      </c>
      <c r="K265" s="14" t="str">
        <f t="shared" si="19"/>
        <v>0 (0)</v>
      </c>
      <c r="L265" s="14" t="str">
        <f t="shared" si="20"/>
        <v>0.04 (0.01)</v>
      </c>
    </row>
    <row r="266" spans="1:12" x14ac:dyDescent="0.25">
      <c r="A266" t="s">
        <v>85</v>
      </c>
      <c r="B266" t="s">
        <v>97</v>
      </c>
      <c r="C266" t="s">
        <v>111</v>
      </c>
      <c r="D266">
        <v>2.3670579086892501E-2</v>
      </c>
      <c r="E266">
        <v>1.35242482609664E-2</v>
      </c>
      <c r="I266" s="13" t="str">
        <f t="shared" si="21"/>
        <v>TOPCROPSOYBEANSRr</v>
      </c>
      <c r="J266" s="13">
        <f t="shared" si="22"/>
        <v>2.3670579086892501E-2</v>
      </c>
      <c r="K266" s="14" t="str">
        <f t="shared" si="19"/>
        <v>0 (0)</v>
      </c>
      <c r="L266" s="14" t="str">
        <f t="shared" si="20"/>
        <v>0.02 (0.01)</v>
      </c>
    </row>
    <row r="267" spans="1:12" x14ac:dyDescent="0.25">
      <c r="A267" t="s">
        <v>85</v>
      </c>
      <c r="B267" t="s">
        <v>98</v>
      </c>
      <c r="C267" t="s">
        <v>111</v>
      </c>
      <c r="D267">
        <v>3.2644684731631103E-2</v>
      </c>
      <c r="E267">
        <v>1.5986699345526399E-2</v>
      </c>
      <c r="I267" s="13" t="str">
        <f t="shared" si="21"/>
        <v>TOPCROPBARLEYRr</v>
      </c>
      <c r="J267" s="13">
        <f t="shared" si="22"/>
        <v>3.2644684731631103E-2</v>
      </c>
      <c r="K267" s="14" t="str">
        <f t="shared" si="19"/>
        <v>0 (0)</v>
      </c>
      <c r="L267" s="14" t="str">
        <f t="shared" si="20"/>
        <v>0.03 (0.02)</v>
      </c>
    </row>
    <row r="268" spans="1:12" x14ac:dyDescent="0.25">
      <c r="A268" t="s">
        <v>77</v>
      </c>
      <c r="B268" t="s">
        <v>77</v>
      </c>
      <c r="C268" t="s">
        <v>112</v>
      </c>
      <c r="D268">
        <v>0.105792301140891</v>
      </c>
      <c r="E268">
        <v>8.8550102873288697E-2</v>
      </c>
      <c r="I268" s="13" t="str">
        <f t="shared" si="21"/>
        <v>FCIPFCIPRf</v>
      </c>
      <c r="J268" s="13">
        <f t="shared" si="22"/>
        <v>0.105792301140891</v>
      </c>
      <c r="K268" s="14" t="str">
        <f t="shared" si="19"/>
        <v>0 (0)</v>
      </c>
      <c r="L268" s="14" t="str">
        <f t="shared" si="20"/>
        <v>0.11 (0.09)</v>
      </c>
    </row>
    <row r="269" spans="1:12" x14ac:dyDescent="0.25">
      <c r="A269" t="s">
        <v>79</v>
      </c>
      <c r="B269" t="s">
        <v>80</v>
      </c>
      <c r="C269" t="s">
        <v>112</v>
      </c>
      <c r="D269">
        <v>0.104308342323569</v>
      </c>
      <c r="E269">
        <v>8.8979972606780297E-2</v>
      </c>
      <c r="I269" s="13" t="str">
        <f t="shared" si="21"/>
        <v>CGRPField CropsRf</v>
      </c>
      <c r="J269" s="13">
        <f t="shared" si="22"/>
        <v>0.104308342323569</v>
      </c>
      <c r="K269" s="14" t="str">
        <f t="shared" si="19"/>
        <v>0 (0)</v>
      </c>
      <c r="L269" s="14" t="str">
        <f t="shared" si="20"/>
        <v>0.10 (0.09)</v>
      </c>
    </row>
    <row r="270" spans="1:12" x14ac:dyDescent="0.25">
      <c r="A270" t="s">
        <v>79</v>
      </c>
      <c r="B270" t="s">
        <v>81</v>
      </c>
      <c r="C270" t="s">
        <v>112</v>
      </c>
      <c r="D270">
        <v>3.5534766697163801E-2</v>
      </c>
      <c r="E270">
        <v>1.9778935285105E-2</v>
      </c>
      <c r="I270" s="13" t="str">
        <f t="shared" si="21"/>
        <v>CGRPNutsRf</v>
      </c>
      <c r="J270" s="13">
        <f t="shared" si="22"/>
        <v>3.5534766697163801E-2</v>
      </c>
      <c r="K270" s="14" t="str">
        <f t="shared" si="19"/>
        <v>0 (0)</v>
      </c>
      <c r="L270" s="14" t="str">
        <f t="shared" si="20"/>
        <v>0.04 (0.02)</v>
      </c>
    </row>
    <row r="271" spans="1:12" x14ac:dyDescent="0.25">
      <c r="A271" t="s">
        <v>79</v>
      </c>
      <c r="B271" t="s">
        <v>82</v>
      </c>
      <c r="C271" t="s">
        <v>112</v>
      </c>
      <c r="D271">
        <v>0.129240019795447</v>
      </c>
      <c r="E271">
        <v>8.4411433742544506E-2</v>
      </c>
      <c r="I271" s="13" t="str">
        <f t="shared" si="21"/>
        <v>CGRPForagesRf</v>
      </c>
      <c r="J271" s="13">
        <f t="shared" si="22"/>
        <v>0.129240019795447</v>
      </c>
      <c r="K271" s="14" t="str">
        <f t="shared" si="19"/>
        <v>0 (0)</v>
      </c>
      <c r="L271" s="14" t="str">
        <f t="shared" si="20"/>
        <v>0.13 (0.08)</v>
      </c>
    </row>
    <row r="272" spans="1:12" x14ac:dyDescent="0.25">
      <c r="A272" t="s">
        <v>79</v>
      </c>
      <c r="B272" t="s">
        <v>83</v>
      </c>
      <c r="C272" t="s">
        <v>112</v>
      </c>
      <c r="D272">
        <v>0.14191133272892101</v>
      </c>
      <c r="E272">
        <v>0.13371780411305401</v>
      </c>
      <c r="I272" s="13" t="str">
        <f t="shared" si="21"/>
        <v>CGRPFruitsRf</v>
      </c>
      <c r="J272" s="13">
        <f t="shared" si="22"/>
        <v>0.14191133272892101</v>
      </c>
      <c r="K272" s="14" t="str">
        <f t="shared" si="19"/>
        <v>0 (0)</v>
      </c>
      <c r="L272" s="14" t="str">
        <f t="shared" si="20"/>
        <v>0.14 (0.13)</v>
      </c>
    </row>
    <row r="273" spans="1:12" x14ac:dyDescent="0.25">
      <c r="A273" t="s">
        <v>79</v>
      </c>
      <c r="B273" t="s">
        <v>84</v>
      </c>
      <c r="C273" t="s">
        <v>112</v>
      </c>
      <c r="D273">
        <v>0.121354558084316</v>
      </c>
      <c r="E273">
        <v>7.5604987630060599E-2</v>
      </c>
      <c r="I273" s="13" t="str">
        <f t="shared" si="21"/>
        <v>CGRPVegetablesRf</v>
      </c>
      <c r="J273" s="13">
        <f t="shared" si="22"/>
        <v>0.121354558084316</v>
      </c>
      <c r="K273" s="14" t="str">
        <f t="shared" si="19"/>
        <v>0 (0)</v>
      </c>
      <c r="L273" s="14" t="str">
        <f t="shared" si="20"/>
        <v>0.12 (0.08)</v>
      </c>
    </row>
    <row r="274" spans="1:12" x14ac:dyDescent="0.25">
      <c r="A274" t="s">
        <v>85</v>
      </c>
      <c r="B274" t="s">
        <v>86</v>
      </c>
      <c r="C274" t="s">
        <v>112</v>
      </c>
      <c r="D274">
        <v>0.110583365455088</v>
      </c>
      <c r="E274">
        <v>8.2276187570450299E-2</v>
      </c>
      <c r="I274" s="13" t="str">
        <f t="shared" si="21"/>
        <v>TOPCROPWHEATRf</v>
      </c>
      <c r="J274" s="13">
        <f t="shared" si="22"/>
        <v>0.110583365455088</v>
      </c>
      <c r="K274" s="14" t="str">
        <f t="shared" si="19"/>
        <v>0 (0)</v>
      </c>
      <c r="L274" s="14" t="str">
        <f t="shared" si="20"/>
        <v>0.11 (0.08)</v>
      </c>
    </row>
    <row r="275" spans="1:12" x14ac:dyDescent="0.25">
      <c r="A275" t="s">
        <v>85</v>
      </c>
      <c r="B275" t="s">
        <v>87</v>
      </c>
      <c r="C275" t="s">
        <v>112</v>
      </c>
      <c r="D275">
        <v>0.12065500971903199</v>
      </c>
      <c r="E275">
        <v>6.0562585592746701E-2</v>
      </c>
      <c r="I275" s="13" t="str">
        <f t="shared" si="21"/>
        <v>TOPCROPCANOLARf</v>
      </c>
      <c r="J275" s="13">
        <f t="shared" si="22"/>
        <v>0.12065500971903199</v>
      </c>
      <c r="K275" s="14" t="str">
        <f t="shared" si="19"/>
        <v>0 (0)</v>
      </c>
      <c r="L275" s="14" t="str">
        <f t="shared" si="20"/>
        <v>0.12 (0.06)</v>
      </c>
    </row>
    <row r="276" spans="1:12" x14ac:dyDescent="0.25">
      <c r="A276" t="s">
        <v>85</v>
      </c>
      <c r="B276" t="s">
        <v>88</v>
      </c>
      <c r="C276" t="s">
        <v>112</v>
      </c>
      <c r="D276">
        <v>0.114342102455261</v>
      </c>
      <c r="E276">
        <v>8.8585560266803504E-2</v>
      </c>
      <c r="I276" s="13" t="str">
        <f t="shared" si="21"/>
        <v>TOPCROPOTHERRf</v>
      </c>
      <c r="J276" s="13">
        <f t="shared" si="22"/>
        <v>0.114342102455261</v>
      </c>
      <c r="K276" s="14" t="str">
        <f t="shared" si="19"/>
        <v>0 (0)</v>
      </c>
      <c r="L276" s="14" t="str">
        <f t="shared" si="20"/>
        <v>0.11 (0.09)</v>
      </c>
    </row>
    <row r="277" spans="1:12" x14ac:dyDescent="0.25">
      <c r="A277" t="s">
        <v>85</v>
      </c>
      <c r="B277" t="s">
        <v>89</v>
      </c>
      <c r="C277" t="s">
        <v>112</v>
      </c>
      <c r="D277">
        <v>3.47193458316713E-2</v>
      </c>
      <c r="E277">
        <v>1.96866474323385E-2</v>
      </c>
      <c r="I277" s="13" t="str">
        <f t="shared" si="21"/>
        <v>TOPCROPRICERf</v>
      </c>
      <c r="J277" s="13">
        <f t="shared" si="22"/>
        <v>3.47193458316713E-2</v>
      </c>
      <c r="K277" s="14" t="str">
        <f t="shared" si="19"/>
        <v>0 (0)</v>
      </c>
      <c r="L277" s="14" t="str">
        <f t="shared" si="20"/>
        <v>0.03 (0.02)</v>
      </c>
    </row>
    <row r="278" spans="1:12" x14ac:dyDescent="0.25">
      <c r="A278" t="s">
        <v>85</v>
      </c>
      <c r="B278" t="s">
        <v>90</v>
      </c>
      <c r="C278" t="s">
        <v>112</v>
      </c>
      <c r="D278">
        <v>0.159899825760007</v>
      </c>
      <c r="E278">
        <v>0.121436157921401</v>
      </c>
      <c r="I278" s="13" t="str">
        <f t="shared" si="21"/>
        <v>TOPCROPCOTTONRf</v>
      </c>
      <c r="J278" s="13">
        <f t="shared" si="22"/>
        <v>0.159899825760007</v>
      </c>
      <c r="K278" s="14" t="str">
        <f t="shared" si="19"/>
        <v>0 (0)</v>
      </c>
      <c r="L278" s="14" t="str">
        <f t="shared" si="20"/>
        <v>0.16 (0.12)</v>
      </c>
    </row>
    <row r="279" spans="1:12" x14ac:dyDescent="0.25">
      <c r="A279" t="s">
        <v>85</v>
      </c>
      <c r="B279" t="s">
        <v>91</v>
      </c>
      <c r="C279" t="s">
        <v>112</v>
      </c>
      <c r="D279">
        <v>3.7851845580765299E-2</v>
      </c>
      <c r="E279">
        <v>2.0490078176342401E-2</v>
      </c>
      <c r="I279" s="13" t="str">
        <f t="shared" si="21"/>
        <v>TOPCROPSUGAR BEETSRf</v>
      </c>
      <c r="J279" s="13">
        <f t="shared" si="22"/>
        <v>3.7851845580765299E-2</v>
      </c>
      <c r="K279" s="14" t="str">
        <f t="shared" si="19"/>
        <v>0 (0)</v>
      </c>
      <c r="L279" s="14" t="str">
        <f t="shared" si="20"/>
        <v>0.04 (0.02)</v>
      </c>
    </row>
    <row r="280" spans="1:12" x14ac:dyDescent="0.25">
      <c r="A280" t="s">
        <v>85</v>
      </c>
      <c r="B280" t="s">
        <v>92</v>
      </c>
      <c r="C280" t="s">
        <v>112</v>
      </c>
      <c r="D280">
        <v>8.1831747141007494E-2</v>
      </c>
      <c r="E280">
        <v>7.2938893469842003E-2</v>
      </c>
      <c r="I280" s="13" t="str">
        <f t="shared" si="21"/>
        <v>TOPCROPCORNRf</v>
      </c>
      <c r="J280" s="13">
        <f t="shared" si="22"/>
        <v>8.1831747141007494E-2</v>
      </c>
      <c r="K280" s="14" t="str">
        <f t="shared" si="19"/>
        <v>0 (0)</v>
      </c>
      <c r="L280" s="14" t="str">
        <f t="shared" si="20"/>
        <v>0.08 (0.07)</v>
      </c>
    </row>
    <row r="281" spans="1:12" x14ac:dyDescent="0.25">
      <c r="A281" t="s">
        <v>85</v>
      </c>
      <c r="B281" t="s">
        <v>93</v>
      </c>
      <c r="C281" t="s">
        <v>112</v>
      </c>
      <c r="D281">
        <v>0.127843542587075</v>
      </c>
      <c r="E281">
        <v>7.4063804268085995E-2</v>
      </c>
      <c r="I281" s="13" t="str">
        <f t="shared" si="21"/>
        <v>TOPCROPDRY BEANSRf</v>
      </c>
      <c r="J281" s="13">
        <f t="shared" si="22"/>
        <v>0.127843542587075</v>
      </c>
      <c r="K281" s="14" t="str">
        <f t="shared" si="19"/>
        <v>0 (0)</v>
      </c>
      <c r="L281" s="14" t="str">
        <f t="shared" si="20"/>
        <v>0.13 (0.07)</v>
      </c>
    </row>
    <row r="282" spans="1:12" x14ac:dyDescent="0.25">
      <c r="A282" t="s">
        <v>85</v>
      </c>
      <c r="B282" t="s">
        <v>94</v>
      </c>
      <c r="C282" t="s">
        <v>112</v>
      </c>
      <c r="D282">
        <v>0.17164853899125301</v>
      </c>
      <c r="E282">
        <v>0.120810982530346</v>
      </c>
      <c r="I282" s="13" t="str">
        <f t="shared" si="21"/>
        <v>TOPCROPSORGHUMRf</v>
      </c>
      <c r="J282" s="13">
        <f t="shared" si="22"/>
        <v>0.17164853899125301</v>
      </c>
      <c r="K282" s="14" t="str">
        <f t="shared" si="19"/>
        <v>0 (0)</v>
      </c>
      <c r="L282" s="14" t="str">
        <f t="shared" si="20"/>
        <v>0.17 (0.12)</v>
      </c>
    </row>
    <row r="283" spans="1:12" x14ac:dyDescent="0.25">
      <c r="A283" t="s">
        <v>85</v>
      </c>
      <c r="B283" t="s">
        <v>95</v>
      </c>
      <c r="C283" t="s">
        <v>112</v>
      </c>
      <c r="D283">
        <v>0.133361224661452</v>
      </c>
      <c r="E283">
        <v>6.6138816951314294E-2</v>
      </c>
      <c r="I283" s="13" t="str">
        <f t="shared" si="21"/>
        <v>TOPCROPDRY PEASRf</v>
      </c>
      <c r="J283" s="13">
        <f t="shared" si="22"/>
        <v>0.133361224661452</v>
      </c>
      <c r="K283" s="14" t="str">
        <f t="shared" si="19"/>
        <v>0 (0)</v>
      </c>
      <c r="L283" s="14" t="str">
        <f t="shared" si="20"/>
        <v>0.13 (0.07)</v>
      </c>
    </row>
    <row r="284" spans="1:12" x14ac:dyDescent="0.25">
      <c r="A284" t="s">
        <v>85</v>
      </c>
      <c r="B284" t="s">
        <v>96</v>
      </c>
      <c r="C284" t="s">
        <v>112</v>
      </c>
      <c r="D284">
        <v>0.15119435909745599</v>
      </c>
      <c r="E284">
        <v>7.7878233482921305E-2</v>
      </c>
      <c r="I284" s="13" t="str">
        <f t="shared" si="21"/>
        <v>TOPCROPSUNFLOWERSRf</v>
      </c>
      <c r="J284" s="13">
        <f t="shared" si="22"/>
        <v>0.15119435909745599</v>
      </c>
      <c r="K284" s="14" t="str">
        <f t="shared" si="19"/>
        <v>0 (0)</v>
      </c>
      <c r="L284" s="14" t="str">
        <f t="shared" si="20"/>
        <v>0.15 (0.08)</v>
      </c>
    </row>
    <row r="285" spans="1:12" x14ac:dyDescent="0.25">
      <c r="A285" t="s">
        <v>85</v>
      </c>
      <c r="B285" t="s">
        <v>97</v>
      </c>
      <c r="C285" t="s">
        <v>112</v>
      </c>
      <c r="D285">
        <v>8.5594416494845393E-2</v>
      </c>
      <c r="E285">
        <v>7.6596694069618096E-2</v>
      </c>
      <c r="I285" s="13" t="str">
        <f t="shared" si="21"/>
        <v>TOPCROPSOYBEANSRf</v>
      </c>
      <c r="J285" s="13">
        <f t="shared" si="22"/>
        <v>8.5594416494845393E-2</v>
      </c>
      <c r="K285" s="14" t="str">
        <f t="shared" si="19"/>
        <v>0 (0)</v>
      </c>
      <c r="L285" s="14" t="str">
        <f t="shared" si="20"/>
        <v>0.09 (0.08)</v>
      </c>
    </row>
    <row r="286" spans="1:12" x14ac:dyDescent="0.25">
      <c r="A286" t="s">
        <v>85</v>
      </c>
      <c r="B286" t="s">
        <v>98</v>
      </c>
      <c r="C286" t="s">
        <v>112</v>
      </c>
      <c r="D286">
        <v>0.11900591081664599</v>
      </c>
      <c r="E286">
        <v>8.3176119226940903E-2</v>
      </c>
      <c r="I286" s="13" t="str">
        <f t="shared" si="21"/>
        <v>TOPCROPBARLEYRf</v>
      </c>
      <c r="J286" s="13">
        <f t="shared" si="22"/>
        <v>0.11900591081664599</v>
      </c>
      <c r="K286" s="14" t="str">
        <f t="shared" si="19"/>
        <v>0 (0)</v>
      </c>
      <c r="L286" s="14" t="str">
        <f t="shared" si="20"/>
        <v>0.12 (0.08)</v>
      </c>
    </row>
    <row r="287" spans="1:12" x14ac:dyDescent="0.25">
      <c r="A287" t="s">
        <v>77</v>
      </c>
      <c r="B287" t="s">
        <v>77</v>
      </c>
      <c r="C287" t="s">
        <v>113</v>
      </c>
      <c r="D287">
        <v>0.965062510468366</v>
      </c>
      <c r="E287">
        <v>0.104551691404233</v>
      </c>
      <c r="I287" s="13" t="str">
        <f t="shared" si="21"/>
        <v>FCIPFCIPPF</v>
      </c>
      <c r="J287" s="13">
        <f t="shared" si="22"/>
        <v>0.965062510468366</v>
      </c>
      <c r="K287" s="14" t="str">
        <f t="shared" si="19"/>
        <v>1 (0)</v>
      </c>
      <c r="L287" s="14" t="str">
        <f t="shared" si="20"/>
        <v>0.97 (0.10)</v>
      </c>
    </row>
    <row r="288" spans="1:12" x14ac:dyDescent="0.25">
      <c r="A288" t="s">
        <v>79</v>
      </c>
      <c r="B288" t="s">
        <v>80</v>
      </c>
      <c r="C288" t="s">
        <v>113</v>
      </c>
      <c r="D288">
        <v>0.96359706413155299</v>
      </c>
      <c r="E288">
        <v>0.106263719003599</v>
      </c>
      <c r="I288" s="13" t="str">
        <f t="shared" si="21"/>
        <v>CGRPField CropsPF</v>
      </c>
      <c r="J288" s="13">
        <f t="shared" si="22"/>
        <v>0.96359706413155299</v>
      </c>
      <c r="K288" s="14" t="str">
        <f t="shared" si="19"/>
        <v>1 (0)</v>
      </c>
      <c r="L288" s="14" t="str">
        <f t="shared" si="20"/>
        <v>0.96 (0.11)</v>
      </c>
    </row>
    <row r="289" spans="1:12" x14ac:dyDescent="0.25">
      <c r="A289" t="s">
        <v>79</v>
      </c>
      <c r="B289" t="s">
        <v>81</v>
      </c>
      <c r="C289" t="s">
        <v>113</v>
      </c>
      <c r="D289">
        <v>0.99059776275009603</v>
      </c>
      <c r="E289">
        <v>5.4117835962615497E-2</v>
      </c>
      <c r="I289" s="13" t="str">
        <f t="shared" si="21"/>
        <v>CGRPNutsPF</v>
      </c>
      <c r="J289" s="13">
        <f t="shared" si="22"/>
        <v>0.99059776275009603</v>
      </c>
      <c r="K289" s="14" t="str">
        <f t="shared" si="19"/>
        <v>1 (0)</v>
      </c>
      <c r="L289" s="14" t="str">
        <f t="shared" si="20"/>
        <v>0.99 (0.05)</v>
      </c>
    </row>
    <row r="290" spans="1:12" x14ac:dyDescent="0.25">
      <c r="A290" t="s">
        <v>79</v>
      </c>
      <c r="B290" t="s">
        <v>82</v>
      </c>
      <c r="C290" t="s">
        <v>113</v>
      </c>
      <c r="D290">
        <v>0.96424164126512002</v>
      </c>
      <c r="E290">
        <v>0.12387725333445</v>
      </c>
      <c r="I290" s="13" t="str">
        <f t="shared" si="21"/>
        <v>CGRPForagesPF</v>
      </c>
      <c r="J290" s="13">
        <f t="shared" si="22"/>
        <v>0.96424164126512002</v>
      </c>
      <c r="K290" s="14" t="str">
        <f t="shared" si="19"/>
        <v>1 (0)</v>
      </c>
      <c r="L290" s="14" t="str">
        <f t="shared" si="20"/>
        <v>0.96 (0.12)</v>
      </c>
    </row>
    <row r="291" spans="1:12" x14ac:dyDescent="0.25">
      <c r="A291" t="s">
        <v>79</v>
      </c>
      <c r="B291" t="s">
        <v>83</v>
      </c>
      <c r="C291" t="s">
        <v>113</v>
      </c>
      <c r="D291">
        <v>0.99666526148260903</v>
      </c>
      <c r="E291">
        <v>3.50739872968132E-2</v>
      </c>
      <c r="I291" s="13" t="str">
        <f t="shared" si="21"/>
        <v>CGRPFruitsPF</v>
      </c>
      <c r="J291" s="13">
        <f t="shared" si="22"/>
        <v>0.99666526148260903</v>
      </c>
      <c r="K291" s="14" t="str">
        <f t="shared" si="19"/>
        <v>1 (0)</v>
      </c>
      <c r="L291" s="14" t="str">
        <f t="shared" si="20"/>
        <v>1.00 (0.04)</v>
      </c>
    </row>
    <row r="292" spans="1:12" x14ac:dyDescent="0.25">
      <c r="A292" t="s">
        <v>79</v>
      </c>
      <c r="B292" t="s">
        <v>84</v>
      </c>
      <c r="C292" t="s">
        <v>113</v>
      </c>
      <c r="D292">
        <v>0.98905055456777102</v>
      </c>
      <c r="E292">
        <v>5.0548735558971797E-2</v>
      </c>
      <c r="I292" s="13" t="str">
        <f t="shared" si="21"/>
        <v>CGRPVegetablesPF</v>
      </c>
      <c r="J292" s="13">
        <f t="shared" si="22"/>
        <v>0.98905055456777102</v>
      </c>
      <c r="K292" s="14" t="str">
        <f t="shared" si="19"/>
        <v>1 (0)</v>
      </c>
      <c r="L292" s="14" t="str">
        <f t="shared" si="20"/>
        <v>0.99 (0.05)</v>
      </c>
    </row>
    <row r="293" spans="1:12" x14ac:dyDescent="0.25">
      <c r="A293" t="s">
        <v>85</v>
      </c>
      <c r="B293" t="s">
        <v>86</v>
      </c>
      <c r="C293" t="s">
        <v>113</v>
      </c>
      <c r="D293">
        <v>0.97236697338516698</v>
      </c>
      <c r="E293">
        <v>8.9808090661518306E-2</v>
      </c>
      <c r="I293" s="13" t="str">
        <f t="shared" si="21"/>
        <v>TOPCROPWHEATPF</v>
      </c>
      <c r="J293" s="13">
        <f t="shared" si="22"/>
        <v>0.97236697338516698</v>
      </c>
      <c r="K293" s="14" t="str">
        <f t="shared" si="19"/>
        <v>1 (0)</v>
      </c>
      <c r="L293" s="14" t="str">
        <f t="shared" si="20"/>
        <v>0.97 (0.09)</v>
      </c>
    </row>
    <row r="294" spans="1:12" x14ac:dyDescent="0.25">
      <c r="A294" t="s">
        <v>85</v>
      </c>
      <c r="B294" t="s">
        <v>87</v>
      </c>
      <c r="C294" t="s">
        <v>113</v>
      </c>
      <c r="D294">
        <v>0.99069473696850696</v>
      </c>
      <c r="E294">
        <v>4.5800794803730602E-2</v>
      </c>
      <c r="I294" s="13" t="str">
        <f t="shared" si="21"/>
        <v>TOPCROPCANOLAPF</v>
      </c>
      <c r="J294" s="13">
        <f t="shared" si="22"/>
        <v>0.99069473696850696</v>
      </c>
      <c r="K294" s="14" t="str">
        <f t="shared" si="19"/>
        <v>1 (0)</v>
      </c>
      <c r="L294" s="14" t="str">
        <f t="shared" si="20"/>
        <v>0.99 (0.05)</v>
      </c>
    </row>
    <row r="295" spans="1:12" x14ac:dyDescent="0.25">
      <c r="A295" t="s">
        <v>85</v>
      </c>
      <c r="B295" t="s">
        <v>88</v>
      </c>
      <c r="C295" t="s">
        <v>113</v>
      </c>
      <c r="D295">
        <v>0.97395438072791296</v>
      </c>
      <c r="E295">
        <v>9.5059088701317906E-2</v>
      </c>
      <c r="I295" s="13" t="str">
        <f t="shared" si="21"/>
        <v>TOPCROPOTHERPF</v>
      </c>
      <c r="J295" s="13">
        <f t="shared" si="22"/>
        <v>0.97395438072791296</v>
      </c>
      <c r="K295" s="14" t="str">
        <f t="shared" si="19"/>
        <v>1 (0)</v>
      </c>
      <c r="L295" s="14" t="str">
        <f t="shared" si="20"/>
        <v>0.97 (0.10)</v>
      </c>
    </row>
    <row r="296" spans="1:12" x14ac:dyDescent="0.25">
      <c r="A296" t="s">
        <v>85</v>
      </c>
      <c r="B296" t="s">
        <v>89</v>
      </c>
      <c r="C296" t="s">
        <v>113</v>
      </c>
      <c r="D296">
        <v>0.92010580257857899</v>
      </c>
      <c r="E296">
        <v>0.165502184755182</v>
      </c>
      <c r="I296" s="13" t="str">
        <f t="shared" si="21"/>
        <v>TOPCROPRICEPF</v>
      </c>
      <c r="J296" s="13">
        <f t="shared" si="22"/>
        <v>0.92010580257857899</v>
      </c>
      <c r="K296" s="14" t="str">
        <f t="shared" si="19"/>
        <v>1 (0)</v>
      </c>
      <c r="L296" s="14" t="str">
        <f t="shared" si="20"/>
        <v>0.92 (0.17)</v>
      </c>
    </row>
    <row r="297" spans="1:12" x14ac:dyDescent="0.25">
      <c r="A297" t="s">
        <v>85</v>
      </c>
      <c r="B297" t="s">
        <v>90</v>
      </c>
      <c r="C297" t="s">
        <v>113</v>
      </c>
      <c r="D297">
        <v>0.92252594027298596</v>
      </c>
      <c r="E297">
        <v>0.163483759755014</v>
      </c>
      <c r="I297" s="13" t="str">
        <f t="shared" si="21"/>
        <v>TOPCROPCOTTONPF</v>
      </c>
      <c r="J297" s="13">
        <f t="shared" si="22"/>
        <v>0.92252594027298596</v>
      </c>
      <c r="K297" s="14" t="str">
        <f t="shared" si="19"/>
        <v>1 (0)</v>
      </c>
      <c r="L297" s="14" t="str">
        <f t="shared" si="20"/>
        <v>0.92 (0.16)</v>
      </c>
    </row>
    <row r="298" spans="1:12" x14ac:dyDescent="0.25">
      <c r="A298" t="s">
        <v>85</v>
      </c>
      <c r="B298" t="s">
        <v>91</v>
      </c>
      <c r="C298" t="s">
        <v>113</v>
      </c>
      <c r="D298">
        <v>0.99893320523767504</v>
      </c>
      <c r="E298">
        <v>9.6138480234398901E-3</v>
      </c>
      <c r="I298" s="13" t="str">
        <f t="shared" si="21"/>
        <v>TOPCROPSUGAR BEETSPF</v>
      </c>
      <c r="J298" s="13">
        <f t="shared" si="22"/>
        <v>0.99893320523767504</v>
      </c>
      <c r="K298" s="14" t="str">
        <f t="shared" si="19"/>
        <v>1 (0)</v>
      </c>
      <c r="L298" s="14" t="str">
        <f t="shared" si="20"/>
        <v>1.00 (0.01)</v>
      </c>
    </row>
    <row r="299" spans="1:12" x14ac:dyDescent="0.25">
      <c r="A299" t="s">
        <v>85</v>
      </c>
      <c r="B299" t="s">
        <v>92</v>
      </c>
      <c r="C299" t="s">
        <v>113</v>
      </c>
      <c r="D299">
        <v>0.96124895461335602</v>
      </c>
      <c r="E299">
        <v>0.113910551407728</v>
      </c>
      <c r="I299" s="13" t="str">
        <f t="shared" si="21"/>
        <v>TOPCROPCORNPF</v>
      </c>
      <c r="J299" s="13">
        <f t="shared" si="22"/>
        <v>0.96124895461335602</v>
      </c>
      <c r="K299" s="14" t="str">
        <f t="shared" si="19"/>
        <v>1 (0)</v>
      </c>
      <c r="L299" s="14" t="str">
        <f t="shared" si="20"/>
        <v>0.96 (0.11)</v>
      </c>
    </row>
    <row r="300" spans="1:12" x14ac:dyDescent="0.25">
      <c r="A300" t="s">
        <v>85</v>
      </c>
      <c r="B300" t="s">
        <v>93</v>
      </c>
      <c r="C300" t="s">
        <v>113</v>
      </c>
      <c r="D300">
        <v>0.99237378417778699</v>
      </c>
      <c r="E300">
        <v>3.3125052305319203E-2</v>
      </c>
      <c r="I300" s="13" t="str">
        <f t="shared" si="21"/>
        <v>TOPCROPDRY BEANSPF</v>
      </c>
      <c r="J300" s="13">
        <f t="shared" si="22"/>
        <v>0.99237378417778699</v>
      </c>
      <c r="K300" s="14" t="str">
        <f t="shared" si="19"/>
        <v>1 (0)</v>
      </c>
      <c r="L300" s="14" t="str">
        <f t="shared" si="20"/>
        <v>0.99 (0.03)</v>
      </c>
    </row>
    <row r="301" spans="1:12" x14ac:dyDescent="0.25">
      <c r="A301" t="s">
        <v>85</v>
      </c>
      <c r="B301" t="s">
        <v>94</v>
      </c>
      <c r="C301" t="s">
        <v>113</v>
      </c>
      <c r="D301">
        <v>0.96366201345366898</v>
      </c>
      <c r="E301">
        <v>9.04303192557704E-2</v>
      </c>
      <c r="I301" s="13" t="str">
        <f t="shared" si="21"/>
        <v>TOPCROPSORGHUMPF</v>
      </c>
      <c r="J301" s="13">
        <f t="shared" si="22"/>
        <v>0.96366201345366898</v>
      </c>
      <c r="K301" s="14" t="str">
        <f t="shared" si="19"/>
        <v>1 (0)</v>
      </c>
      <c r="L301" s="14" t="str">
        <f t="shared" si="20"/>
        <v>0.96 (0.09)</v>
      </c>
    </row>
    <row r="302" spans="1:12" x14ac:dyDescent="0.25">
      <c r="A302" t="s">
        <v>85</v>
      </c>
      <c r="B302" t="s">
        <v>95</v>
      </c>
      <c r="C302" t="s">
        <v>113</v>
      </c>
      <c r="D302">
        <v>0.993826643322682</v>
      </c>
      <c r="E302">
        <v>3.0169764450662301E-2</v>
      </c>
      <c r="I302" s="13" t="str">
        <f t="shared" si="21"/>
        <v>TOPCROPDRY PEASPF</v>
      </c>
      <c r="J302" s="13">
        <f t="shared" si="22"/>
        <v>0.993826643322682</v>
      </c>
      <c r="K302" s="14" t="str">
        <f t="shared" si="19"/>
        <v>1 (0)</v>
      </c>
      <c r="L302" s="14" t="str">
        <f t="shared" si="20"/>
        <v>0.99 (0.03)</v>
      </c>
    </row>
    <row r="303" spans="1:12" x14ac:dyDescent="0.25">
      <c r="A303" t="s">
        <v>85</v>
      </c>
      <c r="B303" t="s">
        <v>96</v>
      </c>
      <c r="C303" t="s">
        <v>113</v>
      </c>
      <c r="D303">
        <v>0.98196879785241997</v>
      </c>
      <c r="E303">
        <v>5.9141172837246299E-2</v>
      </c>
      <c r="I303" s="13" t="str">
        <f t="shared" si="21"/>
        <v>TOPCROPSUNFLOWERSPF</v>
      </c>
      <c r="J303" s="13">
        <f t="shared" si="22"/>
        <v>0.98196879785241997</v>
      </c>
      <c r="K303" s="14" t="str">
        <f t="shared" si="19"/>
        <v>1 (0)</v>
      </c>
      <c r="L303" s="14" t="str">
        <f t="shared" si="20"/>
        <v>0.98 (0.06)</v>
      </c>
    </row>
    <row r="304" spans="1:12" x14ac:dyDescent="0.25">
      <c r="A304" t="s">
        <v>85</v>
      </c>
      <c r="B304" t="s">
        <v>97</v>
      </c>
      <c r="C304" t="s">
        <v>113</v>
      </c>
      <c r="D304">
        <v>0.96433155117899405</v>
      </c>
      <c r="E304">
        <v>9.9040164205705106E-2</v>
      </c>
      <c r="I304" s="13" t="str">
        <f t="shared" si="21"/>
        <v>TOPCROPSOYBEANSPF</v>
      </c>
      <c r="J304" s="13">
        <f t="shared" si="22"/>
        <v>0.96433155117899405</v>
      </c>
      <c r="K304" s="14" t="str">
        <f t="shared" si="19"/>
        <v>1 (0)</v>
      </c>
      <c r="L304" s="14" t="str">
        <f t="shared" si="20"/>
        <v>0.96 (0.10)</v>
      </c>
    </row>
    <row r="305" spans="1:12" x14ac:dyDescent="0.25">
      <c r="A305" t="s">
        <v>85</v>
      </c>
      <c r="B305" t="s">
        <v>98</v>
      </c>
      <c r="C305" t="s">
        <v>113</v>
      </c>
      <c r="D305">
        <v>0.95904215153663597</v>
      </c>
      <c r="E305">
        <v>0.116658916069435</v>
      </c>
      <c r="I305" s="13" t="str">
        <f t="shared" si="21"/>
        <v>TOPCROPBARLEYPF</v>
      </c>
      <c r="J305" s="13">
        <f t="shared" si="22"/>
        <v>0.95904215153663597</v>
      </c>
      <c r="K305" s="14" t="str">
        <f t="shared" si="19"/>
        <v>1 (0)</v>
      </c>
      <c r="L305" s="14" t="str">
        <f t="shared" si="20"/>
        <v>0.96 (0.12)</v>
      </c>
    </row>
    <row r="306" spans="1:12" x14ac:dyDescent="0.25">
      <c r="A306" t="s">
        <v>77</v>
      </c>
      <c r="B306" t="s">
        <v>77</v>
      </c>
      <c r="C306" t="s">
        <v>114</v>
      </c>
      <c r="D306">
        <v>0.664969098538151</v>
      </c>
      <c r="E306">
        <v>0.114809756564645</v>
      </c>
      <c r="I306" s="13" t="str">
        <f t="shared" si="21"/>
        <v>FCIPFCIPRd50</v>
      </c>
      <c r="J306" s="13">
        <f t="shared" si="22"/>
        <v>0.664969098538151</v>
      </c>
      <c r="K306" s="14" t="str">
        <f t="shared" si="19"/>
        <v>1 (0)</v>
      </c>
      <c r="L306" s="14" t="str">
        <f t="shared" si="20"/>
        <v>0.66 (0.11)</v>
      </c>
    </row>
    <row r="307" spans="1:12" x14ac:dyDescent="0.25">
      <c r="A307" t="s">
        <v>79</v>
      </c>
      <c r="B307" t="s">
        <v>80</v>
      </c>
      <c r="C307" t="s">
        <v>114</v>
      </c>
      <c r="D307">
        <v>0.66506375305021304</v>
      </c>
      <c r="E307">
        <v>0.113082490002595</v>
      </c>
      <c r="I307" s="13" t="str">
        <f t="shared" si="21"/>
        <v>CGRPField CropsRd50</v>
      </c>
      <c r="J307" s="13">
        <f t="shared" si="22"/>
        <v>0.66506375305021304</v>
      </c>
      <c r="K307" s="14" t="str">
        <f t="shared" si="19"/>
        <v>1 (0)</v>
      </c>
      <c r="L307" s="14" t="str">
        <f t="shared" si="20"/>
        <v>0.67 (0.11)</v>
      </c>
    </row>
    <row r="308" spans="1:12" x14ac:dyDescent="0.25">
      <c r="A308" t="s">
        <v>79</v>
      </c>
      <c r="B308" t="s">
        <v>81</v>
      </c>
      <c r="C308" t="s">
        <v>114</v>
      </c>
      <c r="D308">
        <v>0.4980590652638</v>
      </c>
      <c r="E308">
        <v>0.11097340733059601</v>
      </c>
      <c r="I308" s="13" t="str">
        <f t="shared" si="21"/>
        <v>CGRPNutsRd50</v>
      </c>
      <c r="J308" s="13">
        <f t="shared" si="22"/>
        <v>0.4980590652638</v>
      </c>
      <c r="K308" s="14" t="str">
        <f t="shared" si="19"/>
        <v>0 (0)</v>
      </c>
      <c r="L308" s="14" t="str">
        <f t="shared" si="20"/>
        <v>0.50 (0.11)</v>
      </c>
    </row>
    <row r="309" spans="1:12" x14ac:dyDescent="0.25">
      <c r="A309" t="s">
        <v>79</v>
      </c>
      <c r="B309" t="s">
        <v>82</v>
      </c>
      <c r="C309" t="s">
        <v>114</v>
      </c>
      <c r="D309">
        <v>0.63694192917127102</v>
      </c>
      <c r="E309">
        <v>0.13328978176892201</v>
      </c>
      <c r="I309" s="13" t="str">
        <f t="shared" si="21"/>
        <v>CGRPForagesRd50</v>
      </c>
      <c r="J309" s="13">
        <f t="shared" si="22"/>
        <v>0.63694192917127102</v>
      </c>
      <c r="K309" s="14" t="str">
        <f t="shared" si="19"/>
        <v>1 (0)</v>
      </c>
      <c r="L309" s="14" t="str">
        <f t="shared" si="20"/>
        <v>0.64 (0.13)</v>
      </c>
    </row>
    <row r="310" spans="1:12" x14ac:dyDescent="0.25">
      <c r="A310" t="s">
        <v>79</v>
      </c>
      <c r="B310" t="s">
        <v>83</v>
      </c>
      <c r="C310" t="s">
        <v>114</v>
      </c>
      <c r="D310">
        <v>0.601058134129143</v>
      </c>
      <c r="E310">
        <v>0.20975257004265399</v>
      </c>
      <c r="I310" s="13" t="str">
        <f t="shared" si="21"/>
        <v>CGRPFruitsRd50</v>
      </c>
      <c r="J310" s="13">
        <f t="shared" si="22"/>
        <v>0.601058134129143</v>
      </c>
      <c r="K310" s="14" t="str">
        <f t="shared" si="19"/>
        <v>1 (0)</v>
      </c>
      <c r="L310" s="14" t="str">
        <f t="shared" si="20"/>
        <v>0.60 (0.21)</v>
      </c>
    </row>
    <row r="311" spans="1:12" x14ac:dyDescent="0.25">
      <c r="A311" t="s">
        <v>79</v>
      </c>
      <c r="B311" t="s">
        <v>84</v>
      </c>
      <c r="C311" t="s">
        <v>114</v>
      </c>
      <c r="D311">
        <v>0.68432905411061595</v>
      </c>
      <c r="E311">
        <v>0.12106235369094701</v>
      </c>
      <c r="I311" s="13" t="str">
        <f t="shared" si="21"/>
        <v>CGRPVegetablesRd50</v>
      </c>
      <c r="J311" s="13">
        <f t="shared" si="22"/>
        <v>0.68432905411061595</v>
      </c>
      <c r="K311" s="14" t="str">
        <f t="shared" si="19"/>
        <v>1 (0)</v>
      </c>
      <c r="L311" s="14" t="str">
        <f t="shared" si="20"/>
        <v>0.68 (0.12)</v>
      </c>
    </row>
    <row r="312" spans="1:12" x14ac:dyDescent="0.25">
      <c r="A312" t="s">
        <v>85</v>
      </c>
      <c r="B312" t="s">
        <v>86</v>
      </c>
      <c r="C312" t="s">
        <v>114</v>
      </c>
      <c r="D312">
        <v>0.67394828753380098</v>
      </c>
      <c r="E312">
        <v>0.10696757346880099</v>
      </c>
      <c r="I312" s="13" t="str">
        <f t="shared" si="21"/>
        <v>TOPCROPWHEATRd50</v>
      </c>
      <c r="J312" s="13">
        <f t="shared" si="22"/>
        <v>0.67394828753380098</v>
      </c>
      <c r="K312" s="14" t="str">
        <f t="shared" si="19"/>
        <v>1 (0)</v>
      </c>
      <c r="L312" s="14" t="str">
        <f t="shared" si="20"/>
        <v>0.67 (0.11)</v>
      </c>
    </row>
    <row r="313" spans="1:12" x14ac:dyDescent="0.25">
      <c r="A313" t="s">
        <v>85</v>
      </c>
      <c r="B313" t="s">
        <v>87</v>
      </c>
      <c r="C313" t="s">
        <v>114</v>
      </c>
      <c r="D313">
        <v>0.71434864920321595</v>
      </c>
      <c r="E313">
        <v>0.102879677961005</v>
      </c>
      <c r="I313" s="13" t="str">
        <f t="shared" si="21"/>
        <v>TOPCROPCANOLARd50</v>
      </c>
      <c r="J313" s="13">
        <f t="shared" si="22"/>
        <v>0.71434864920321595</v>
      </c>
      <c r="K313" s="14" t="str">
        <f t="shared" si="19"/>
        <v>1 (0)</v>
      </c>
      <c r="L313" s="14" t="str">
        <f t="shared" si="20"/>
        <v>0.71 (0.10)</v>
      </c>
    </row>
    <row r="314" spans="1:12" x14ac:dyDescent="0.25">
      <c r="A314" t="s">
        <v>85</v>
      </c>
      <c r="B314" t="s">
        <v>88</v>
      </c>
      <c r="C314" t="s">
        <v>114</v>
      </c>
      <c r="D314">
        <v>0.65433350167061499</v>
      </c>
      <c r="E314">
        <v>0.12496357101858201</v>
      </c>
      <c r="I314" s="13" t="str">
        <f t="shared" si="21"/>
        <v>TOPCROPOTHERRd50</v>
      </c>
      <c r="J314" s="13">
        <f t="shared" si="22"/>
        <v>0.65433350167061499</v>
      </c>
      <c r="K314" s="14" t="str">
        <f t="shared" si="19"/>
        <v>1 (0)</v>
      </c>
      <c r="L314" s="14" t="str">
        <f t="shared" si="20"/>
        <v>0.65 (0.12)</v>
      </c>
    </row>
    <row r="315" spans="1:12" x14ac:dyDescent="0.25">
      <c r="A315" t="s">
        <v>85</v>
      </c>
      <c r="B315" t="s">
        <v>89</v>
      </c>
      <c r="C315" t="s">
        <v>114</v>
      </c>
      <c r="D315">
        <v>0.74427460611862695</v>
      </c>
      <c r="E315">
        <v>9.6258416503448102E-2</v>
      </c>
      <c r="I315" s="13" t="str">
        <f t="shared" si="21"/>
        <v>TOPCROPRICERd50</v>
      </c>
      <c r="J315" s="13">
        <f t="shared" si="22"/>
        <v>0.74427460611862695</v>
      </c>
      <c r="K315" s="14" t="str">
        <f t="shared" si="19"/>
        <v>1 (0)</v>
      </c>
      <c r="L315" s="14" t="str">
        <f t="shared" si="20"/>
        <v>0.74 (0.10)</v>
      </c>
    </row>
    <row r="316" spans="1:12" x14ac:dyDescent="0.25">
      <c r="A316" t="s">
        <v>85</v>
      </c>
      <c r="B316" t="s">
        <v>90</v>
      </c>
      <c r="C316" t="s">
        <v>114</v>
      </c>
      <c r="D316">
        <v>0.70782045807025695</v>
      </c>
      <c r="E316">
        <v>0.12127201338987199</v>
      </c>
      <c r="I316" s="13" t="str">
        <f t="shared" si="21"/>
        <v>TOPCROPCOTTONRd50</v>
      </c>
      <c r="J316" s="13">
        <f t="shared" si="22"/>
        <v>0.70782045807025695</v>
      </c>
      <c r="K316" s="14" t="str">
        <f t="shared" si="19"/>
        <v>1 (0)</v>
      </c>
      <c r="L316" s="14" t="str">
        <f t="shared" si="20"/>
        <v>0.71 (0.12)</v>
      </c>
    </row>
    <row r="317" spans="1:12" x14ac:dyDescent="0.25">
      <c r="A317" t="s">
        <v>85</v>
      </c>
      <c r="B317" t="s">
        <v>91</v>
      </c>
      <c r="C317" t="s">
        <v>114</v>
      </c>
      <c r="D317">
        <v>0.63080448696241098</v>
      </c>
      <c r="E317">
        <v>8.5365652249264304E-2</v>
      </c>
      <c r="I317" s="13" t="str">
        <f t="shared" si="21"/>
        <v>TOPCROPSUGAR BEETSRd50</v>
      </c>
      <c r="J317" s="13">
        <f t="shared" si="22"/>
        <v>0.63080448696241098</v>
      </c>
      <c r="K317" s="14" t="str">
        <f t="shared" si="19"/>
        <v>1 (0)</v>
      </c>
      <c r="L317" s="14" t="str">
        <f t="shared" si="20"/>
        <v>0.63 (0.09)</v>
      </c>
    </row>
    <row r="318" spans="1:12" x14ac:dyDescent="0.25">
      <c r="A318" t="s">
        <v>85</v>
      </c>
      <c r="B318" t="s">
        <v>92</v>
      </c>
      <c r="C318" t="s">
        <v>114</v>
      </c>
      <c r="D318">
        <v>0.66183274327825703</v>
      </c>
      <c r="E318">
        <v>0.106881868513756</v>
      </c>
      <c r="I318" s="13" t="str">
        <f t="shared" si="21"/>
        <v>TOPCROPCORNRd50</v>
      </c>
      <c r="J318" s="13">
        <f t="shared" si="22"/>
        <v>0.66183274327825703</v>
      </c>
      <c r="K318" s="14" t="str">
        <f t="shared" si="19"/>
        <v>1 (0)</v>
      </c>
      <c r="L318" s="14" t="str">
        <f t="shared" si="20"/>
        <v>0.66 (0.11)</v>
      </c>
    </row>
    <row r="319" spans="1:12" x14ac:dyDescent="0.25">
      <c r="A319" t="s">
        <v>85</v>
      </c>
      <c r="B319" t="s">
        <v>93</v>
      </c>
      <c r="C319" t="s">
        <v>114</v>
      </c>
      <c r="D319">
        <v>0.68794699617090904</v>
      </c>
      <c r="E319">
        <v>0.12065918152081199</v>
      </c>
      <c r="I319" s="13" t="str">
        <f t="shared" si="21"/>
        <v>TOPCROPDRY BEANSRd50</v>
      </c>
      <c r="J319" s="13">
        <f t="shared" si="22"/>
        <v>0.68794699617090904</v>
      </c>
      <c r="K319" s="14" t="str">
        <f t="shared" si="19"/>
        <v>1 (0)</v>
      </c>
      <c r="L319" s="14" t="str">
        <f t="shared" si="20"/>
        <v>0.69 (0.12)</v>
      </c>
    </row>
    <row r="320" spans="1:12" x14ac:dyDescent="0.25">
      <c r="A320" t="s">
        <v>85</v>
      </c>
      <c r="B320" t="s">
        <v>94</v>
      </c>
      <c r="C320" t="s">
        <v>114</v>
      </c>
      <c r="D320">
        <v>0.68467215662652803</v>
      </c>
      <c r="E320">
        <v>0.119800173662197</v>
      </c>
      <c r="I320" s="13" t="str">
        <f t="shared" si="21"/>
        <v>TOPCROPSORGHUMRd50</v>
      </c>
      <c r="J320" s="13">
        <f t="shared" si="22"/>
        <v>0.68467215662652803</v>
      </c>
      <c r="K320" s="14" t="str">
        <f t="shared" si="19"/>
        <v>1 (0)</v>
      </c>
      <c r="L320" s="14" t="str">
        <f t="shared" si="20"/>
        <v>0.68 (0.12)</v>
      </c>
    </row>
    <row r="321" spans="1:12" x14ac:dyDescent="0.25">
      <c r="A321" t="s">
        <v>85</v>
      </c>
      <c r="B321" t="s">
        <v>95</v>
      </c>
      <c r="C321" t="s">
        <v>114</v>
      </c>
      <c r="D321">
        <v>0.70684278183381899</v>
      </c>
      <c r="E321">
        <v>0.107066486551435</v>
      </c>
      <c r="I321" s="13" t="str">
        <f t="shared" si="21"/>
        <v>TOPCROPDRY PEASRd50</v>
      </c>
      <c r="J321" s="13">
        <f t="shared" si="22"/>
        <v>0.70684278183381899</v>
      </c>
      <c r="K321" s="14" t="str">
        <f t="shared" si="19"/>
        <v>1 (0)</v>
      </c>
      <c r="L321" s="14" t="str">
        <f t="shared" si="20"/>
        <v>0.71 (0.11)</v>
      </c>
    </row>
    <row r="322" spans="1:12" x14ac:dyDescent="0.25">
      <c r="A322" t="s">
        <v>85</v>
      </c>
      <c r="B322" t="s">
        <v>96</v>
      </c>
      <c r="C322" t="s">
        <v>114</v>
      </c>
      <c r="D322">
        <v>0.70152553105818405</v>
      </c>
      <c r="E322">
        <v>0.11415903696652301</v>
      </c>
      <c r="I322" s="13" t="str">
        <f t="shared" si="21"/>
        <v>TOPCROPSUNFLOWERSRd50</v>
      </c>
      <c r="J322" s="13">
        <f t="shared" si="22"/>
        <v>0.70152553105818405</v>
      </c>
      <c r="K322" s="14" t="str">
        <f t="shared" si="19"/>
        <v>1 (0)</v>
      </c>
      <c r="L322" s="14" t="str">
        <f t="shared" si="20"/>
        <v>0.70 (0.11)</v>
      </c>
    </row>
    <row r="323" spans="1:12" x14ac:dyDescent="0.25">
      <c r="A323" t="s">
        <v>85</v>
      </c>
      <c r="B323" t="s">
        <v>97</v>
      </c>
      <c r="C323" t="s">
        <v>114</v>
      </c>
      <c r="D323">
        <v>0.63098250304748504</v>
      </c>
      <c r="E323">
        <v>0.112283711225973</v>
      </c>
      <c r="I323" s="13" t="str">
        <f t="shared" si="21"/>
        <v>TOPCROPSOYBEANSRd50</v>
      </c>
      <c r="J323" s="13">
        <f t="shared" si="22"/>
        <v>0.63098250304748504</v>
      </c>
      <c r="K323" s="14" t="str">
        <f t="shared" ref="K323:K386" si="23">TEXT(D323,"0")&amp;" ("&amp;TEXT(E323,"0")&amp;")"</f>
        <v>1 (0)</v>
      </c>
      <c r="L323" s="14" t="str">
        <f t="shared" ref="L323:L386" si="24">TEXT(D323,"0.00")&amp;" ("&amp;TEXT(E323,"0.00")&amp;")"</f>
        <v>0.63 (0.11)</v>
      </c>
    </row>
    <row r="324" spans="1:12" x14ac:dyDescent="0.25">
      <c r="A324" t="s">
        <v>85</v>
      </c>
      <c r="B324" t="s">
        <v>98</v>
      </c>
      <c r="C324" t="s">
        <v>114</v>
      </c>
      <c r="D324">
        <v>0.69834789656823404</v>
      </c>
      <c r="E324">
        <v>0.105503106536097</v>
      </c>
      <c r="I324" s="13" t="str">
        <f t="shared" ref="I324:I387" si="25">_xlfn.CONCAT(A324:C324)</f>
        <v>TOPCROPBARLEYRd50</v>
      </c>
      <c r="J324" s="13">
        <f t="shared" ref="J324:J387" si="26">D324</f>
        <v>0.69834789656823404</v>
      </c>
      <c r="K324" s="14" t="str">
        <f t="shared" si="23"/>
        <v>1 (0)</v>
      </c>
      <c r="L324" s="14" t="str">
        <f t="shared" si="24"/>
        <v>0.70 (0.11)</v>
      </c>
    </row>
    <row r="325" spans="1:12" x14ac:dyDescent="0.25">
      <c r="A325" t="s">
        <v>77</v>
      </c>
      <c r="B325" t="s">
        <v>77</v>
      </c>
      <c r="C325" t="s">
        <v>115</v>
      </c>
      <c r="D325">
        <v>0.76729402387056</v>
      </c>
      <c r="E325">
        <v>0.11673057872134</v>
      </c>
      <c r="I325" s="13" t="str">
        <f t="shared" si="25"/>
        <v>FCIPFCIPRd55</v>
      </c>
      <c r="J325" s="13">
        <f t="shared" si="26"/>
        <v>0.76729402387056</v>
      </c>
      <c r="K325" s="14" t="str">
        <f t="shared" si="23"/>
        <v>1 (0)</v>
      </c>
      <c r="L325" s="14" t="str">
        <f t="shared" si="24"/>
        <v>0.77 (0.12)</v>
      </c>
    </row>
    <row r="326" spans="1:12" x14ac:dyDescent="0.25">
      <c r="A326" t="s">
        <v>79</v>
      </c>
      <c r="B326" t="s">
        <v>80</v>
      </c>
      <c r="C326" t="s">
        <v>115</v>
      </c>
      <c r="D326">
        <v>0.76392649395157497</v>
      </c>
      <c r="E326">
        <v>0.116642445043279</v>
      </c>
      <c r="I326" s="13" t="str">
        <f t="shared" si="25"/>
        <v>CGRPField CropsRd55</v>
      </c>
      <c r="J326" s="13">
        <f t="shared" si="26"/>
        <v>0.76392649395157497</v>
      </c>
      <c r="K326" s="14" t="str">
        <f t="shared" si="23"/>
        <v>1 (0)</v>
      </c>
      <c r="L326" s="14" t="str">
        <f t="shared" si="24"/>
        <v>0.76 (0.12)</v>
      </c>
    </row>
    <row r="327" spans="1:12" x14ac:dyDescent="0.25">
      <c r="A327" t="s">
        <v>79</v>
      </c>
      <c r="B327" t="s">
        <v>81</v>
      </c>
      <c r="C327" t="s">
        <v>115</v>
      </c>
      <c r="D327">
        <v>0.68180885940835601</v>
      </c>
      <c r="E327">
        <v>7.0870407517678896E-2</v>
      </c>
      <c r="I327" s="13" t="str">
        <f t="shared" si="25"/>
        <v>CGRPNutsRd55</v>
      </c>
      <c r="J327" s="13">
        <f t="shared" si="26"/>
        <v>0.68180885940835601</v>
      </c>
      <c r="K327" s="14" t="str">
        <f t="shared" si="23"/>
        <v>1 (0)</v>
      </c>
      <c r="L327" s="14" t="str">
        <f t="shared" si="24"/>
        <v>0.68 (0.07)</v>
      </c>
    </row>
    <row r="328" spans="1:12" x14ac:dyDescent="0.25">
      <c r="A328" t="s">
        <v>79</v>
      </c>
      <c r="B328" t="s">
        <v>82</v>
      </c>
      <c r="C328" t="s">
        <v>115</v>
      </c>
      <c r="D328">
        <v>0.80487256758425696</v>
      </c>
      <c r="E328">
        <v>9.4390771433648393E-2</v>
      </c>
      <c r="I328" s="13" t="str">
        <f t="shared" si="25"/>
        <v>CGRPForagesRd55</v>
      </c>
      <c r="J328" s="13">
        <f t="shared" si="26"/>
        <v>0.80487256758425696</v>
      </c>
      <c r="K328" s="14" t="str">
        <f t="shared" si="23"/>
        <v>1 (0)</v>
      </c>
      <c r="L328" s="14" t="str">
        <f t="shared" si="24"/>
        <v>0.80 (0.09)</v>
      </c>
    </row>
    <row r="329" spans="1:12" x14ac:dyDescent="0.25">
      <c r="A329" t="s">
        <v>79</v>
      </c>
      <c r="B329" t="s">
        <v>83</v>
      </c>
      <c r="C329" t="s">
        <v>115</v>
      </c>
      <c r="D329">
        <v>0.77501677999395602</v>
      </c>
      <c r="E329">
        <v>0.15076506635400799</v>
      </c>
      <c r="I329" s="13" t="str">
        <f t="shared" si="25"/>
        <v>CGRPFruitsRd55</v>
      </c>
      <c r="J329" s="13">
        <f t="shared" si="26"/>
        <v>0.77501677999395602</v>
      </c>
      <c r="K329" s="14" t="str">
        <f t="shared" si="23"/>
        <v>1 (0)</v>
      </c>
      <c r="L329" s="14" t="str">
        <f t="shared" si="24"/>
        <v>0.78 (0.15)</v>
      </c>
    </row>
    <row r="330" spans="1:12" x14ac:dyDescent="0.25">
      <c r="A330" t="s">
        <v>79</v>
      </c>
      <c r="B330" t="s">
        <v>84</v>
      </c>
      <c r="C330" t="s">
        <v>115</v>
      </c>
      <c r="D330">
        <v>0.81188501014803705</v>
      </c>
      <c r="E330">
        <v>0.113340867224738</v>
      </c>
      <c r="I330" s="13" t="str">
        <f t="shared" si="25"/>
        <v>CGRPVegetablesRd55</v>
      </c>
      <c r="J330" s="13">
        <f t="shared" si="26"/>
        <v>0.81188501014803705</v>
      </c>
      <c r="K330" s="14" t="str">
        <f t="shared" si="23"/>
        <v>1 (0)</v>
      </c>
      <c r="L330" s="14" t="str">
        <f t="shared" si="24"/>
        <v>0.81 (0.11)</v>
      </c>
    </row>
    <row r="331" spans="1:12" x14ac:dyDescent="0.25">
      <c r="A331" t="s">
        <v>85</v>
      </c>
      <c r="B331" t="s">
        <v>86</v>
      </c>
      <c r="C331" t="s">
        <v>115</v>
      </c>
      <c r="D331">
        <v>0.76957779603688203</v>
      </c>
      <c r="E331">
        <v>0.114934443651698</v>
      </c>
      <c r="I331" s="13" t="str">
        <f t="shared" si="25"/>
        <v>TOPCROPWHEATRd55</v>
      </c>
      <c r="J331" s="13">
        <f t="shared" si="26"/>
        <v>0.76957779603688203</v>
      </c>
      <c r="K331" s="14" t="str">
        <f t="shared" si="23"/>
        <v>1 (0)</v>
      </c>
      <c r="L331" s="14" t="str">
        <f t="shared" si="24"/>
        <v>0.77 (0.11)</v>
      </c>
    </row>
    <row r="332" spans="1:12" x14ac:dyDescent="0.25">
      <c r="A332" t="s">
        <v>85</v>
      </c>
      <c r="B332" t="s">
        <v>87</v>
      </c>
      <c r="C332" t="s">
        <v>115</v>
      </c>
      <c r="D332">
        <v>0.79923072139304496</v>
      </c>
      <c r="E332">
        <v>0.106277598609211</v>
      </c>
      <c r="I332" s="13" t="str">
        <f t="shared" si="25"/>
        <v>TOPCROPCANOLARd55</v>
      </c>
      <c r="J332" s="13">
        <f t="shared" si="26"/>
        <v>0.79923072139304496</v>
      </c>
      <c r="K332" s="14" t="str">
        <f t="shared" si="23"/>
        <v>1 (0)</v>
      </c>
      <c r="L332" s="14" t="str">
        <f t="shared" si="24"/>
        <v>0.80 (0.11)</v>
      </c>
    </row>
    <row r="333" spans="1:12" x14ac:dyDescent="0.25">
      <c r="A333" t="s">
        <v>85</v>
      </c>
      <c r="B333" t="s">
        <v>88</v>
      </c>
      <c r="C333" t="s">
        <v>115</v>
      </c>
      <c r="D333">
        <v>0.795009207262661</v>
      </c>
      <c r="E333">
        <v>0.11414654290984599</v>
      </c>
      <c r="I333" s="13" t="str">
        <f t="shared" si="25"/>
        <v>TOPCROPOTHERRd55</v>
      </c>
      <c r="J333" s="13">
        <f t="shared" si="26"/>
        <v>0.795009207262661</v>
      </c>
      <c r="K333" s="14" t="str">
        <f t="shared" si="23"/>
        <v>1 (0)</v>
      </c>
      <c r="L333" s="14" t="str">
        <f t="shared" si="24"/>
        <v>0.80 (0.11)</v>
      </c>
    </row>
    <row r="334" spans="1:12" x14ac:dyDescent="0.25">
      <c r="A334" t="s">
        <v>85</v>
      </c>
      <c r="B334" t="s">
        <v>89</v>
      </c>
      <c r="C334" t="s">
        <v>115</v>
      </c>
      <c r="D334">
        <v>0.827291387281338</v>
      </c>
      <c r="E334">
        <v>9.8901885699484202E-2</v>
      </c>
      <c r="I334" s="13" t="str">
        <f t="shared" si="25"/>
        <v>TOPCROPRICERd55</v>
      </c>
      <c r="J334" s="13">
        <f t="shared" si="26"/>
        <v>0.827291387281338</v>
      </c>
      <c r="K334" s="14" t="str">
        <f t="shared" si="23"/>
        <v>1 (0)</v>
      </c>
      <c r="L334" s="14" t="str">
        <f t="shared" si="24"/>
        <v>0.83 (0.10)</v>
      </c>
    </row>
    <row r="335" spans="1:12" x14ac:dyDescent="0.25">
      <c r="A335" t="s">
        <v>85</v>
      </c>
      <c r="B335" t="s">
        <v>90</v>
      </c>
      <c r="C335" t="s">
        <v>115</v>
      </c>
      <c r="D335">
        <v>0.79691872554094201</v>
      </c>
      <c r="E335">
        <v>0.127299069405231</v>
      </c>
      <c r="I335" s="13" t="str">
        <f t="shared" si="25"/>
        <v>TOPCROPCOTTONRd55</v>
      </c>
      <c r="J335" s="13">
        <f t="shared" si="26"/>
        <v>0.79691872554094201</v>
      </c>
      <c r="K335" s="14" t="str">
        <f t="shared" si="23"/>
        <v>1 (0)</v>
      </c>
      <c r="L335" s="14" t="str">
        <f t="shared" si="24"/>
        <v>0.80 (0.13)</v>
      </c>
    </row>
    <row r="336" spans="1:12" x14ac:dyDescent="0.25">
      <c r="A336" t="s">
        <v>85</v>
      </c>
      <c r="B336" t="s">
        <v>91</v>
      </c>
      <c r="C336" t="s">
        <v>115</v>
      </c>
      <c r="D336">
        <v>0.76906774466644101</v>
      </c>
      <c r="E336">
        <v>0.107609811949333</v>
      </c>
      <c r="I336" s="13" t="str">
        <f t="shared" si="25"/>
        <v>TOPCROPSUGAR BEETSRd55</v>
      </c>
      <c r="J336" s="13">
        <f t="shared" si="26"/>
        <v>0.76906774466644101</v>
      </c>
      <c r="K336" s="14" t="str">
        <f t="shared" si="23"/>
        <v>1 (0)</v>
      </c>
      <c r="L336" s="14" t="str">
        <f t="shared" si="24"/>
        <v>0.77 (0.11)</v>
      </c>
    </row>
    <row r="337" spans="1:12" x14ac:dyDescent="0.25">
      <c r="A337" t="s">
        <v>85</v>
      </c>
      <c r="B337" t="s">
        <v>92</v>
      </c>
      <c r="C337" t="s">
        <v>115</v>
      </c>
      <c r="D337">
        <v>0.762400310428061</v>
      </c>
      <c r="E337">
        <v>0.11067330344385</v>
      </c>
      <c r="I337" s="13" t="str">
        <f t="shared" si="25"/>
        <v>TOPCROPCORNRd55</v>
      </c>
      <c r="J337" s="13">
        <f t="shared" si="26"/>
        <v>0.762400310428061</v>
      </c>
      <c r="K337" s="14" t="str">
        <f t="shared" si="23"/>
        <v>1 (0)</v>
      </c>
      <c r="L337" s="14" t="str">
        <f t="shared" si="24"/>
        <v>0.76 (0.11)</v>
      </c>
    </row>
    <row r="338" spans="1:12" x14ac:dyDescent="0.25">
      <c r="A338" t="s">
        <v>85</v>
      </c>
      <c r="B338" t="s">
        <v>93</v>
      </c>
      <c r="C338" t="s">
        <v>115</v>
      </c>
      <c r="D338">
        <v>0.79615479087556196</v>
      </c>
      <c r="E338">
        <v>0.122914760366566</v>
      </c>
      <c r="I338" s="13" t="str">
        <f t="shared" si="25"/>
        <v>TOPCROPDRY BEANSRd55</v>
      </c>
      <c r="J338" s="13">
        <f t="shared" si="26"/>
        <v>0.79615479087556196</v>
      </c>
      <c r="K338" s="14" t="str">
        <f t="shared" si="23"/>
        <v>1 (0)</v>
      </c>
      <c r="L338" s="14" t="str">
        <f t="shared" si="24"/>
        <v>0.80 (0.12)</v>
      </c>
    </row>
    <row r="339" spans="1:12" x14ac:dyDescent="0.25">
      <c r="A339" t="s">
        <v>85</v>
      </c>
      <c r="B339" t="s">
        <v>94</v>
      </c>
      <c r="C339" t="s">
        <v>115</v>
      </c>
      <c r="D339">
        <v>0.77252157446354797</v>
      </c>
      <c r="E339">
        <v>0.13319894361356099</v>
      </c>
      <c r="I339" s="13" t="str">
        <f t="shared" si="25"/>
        <v>TOPCROPSORGHUMRd55</v>
      </c>
      <c r="J339" s="13">
        <f t="shared" si="26"/>
        <v>0.77252157446354797</v>
      </c>
      <c r="K339" s="14" t="str">
        <f t="shared" si="23"/>
        <v>1 (0)</v>
      </c>
      <c r="L339" s="14" t="str">
        <f t="shared" si="24"/>
        <v>0.77 (0.13)</v>
      </c>
    </row>
    <row r="340" spans="1:12" x14ac:dyDescent="0.25">
      <c r="A340" t="s">
        <v>85</v>
      </c>
      <c r="B340" t="s">
        <v>95</v>
      </c>
      <c r="C340" t="s">
        <v>115</v>
      </c>
      <c r="D340">
        <v>0.84439752916423705</v>
      </c>
      <c r="E340">
        <v>6.8139142370741104E-2</v>
      </c>
      <c r="I340" s="13" t="str">
        <f t="shared" si="25"/>
        <v>TOPCROPDRY PEASRd55</v>
      </c>
      <c r="J340" s="13">
        <f t="shared" si="26"/>
        <v>0.84439752916423705</v>
      </c>
      <c r="K340" s="14" t="str">
        <f t="shared" si="23"/>
        <v>1 (0)</v>
      </c>
      <c r="L340" s="14" t="str">
        <f t="shared" si="24"/>
        <v>0.84 (0.07)</v>
      </c>
    </row>
    <row r="341" spans="1:12" x14ac:dyDescent="0.25">
      <c r="A341" t="s">
        <v>85</v>
      </c>
      <c r="B341" t="s">
        <v>96</v>
      </c>
      <c r="C341" t="s">
        <v>115</v>
      </c>
      <c r="D341">
        <v>0.78437614122239696</v>
      </c>
      <c r="E341">
        <v>0.131704230252424</v>
      </c>
      <c r="I341" s="13" t="str">
        <f t="shared" si="25"/>
        <v>TOPCROPSUNFLOWERSRd55</v>
      </c>
      <c r="J341" s="13">
        <f t="shared" si="26"/>
        <v>0.78437614122239696</v>
      </c>
      <c r="K341" s="14" t="str">
        <f t="shared" si="23"/>
        <v>1 (0)</v>
      </c>
      <c r="L341" s="14" t="str">
        <f t="shared" si="24"/>
        <v>0.78 (0.13)</v>
      </c>
    </row>
    <row r="342" spans="1:12" x14ac:dyDescent="0.25">
      <c r="A342" t="s">
        <v>85</v>
      </c>
      <c r="B342" t="s">
        <v>97</v>
      </c>
      <c r="C342" t="s">
        <v>115</v>
      </c>
      <c r="D342">
        <v>0.73008348484525598</v>
      </c>
      <c r="E342">
        <v>0.108753086029605</v>
      </c>
      <c r="I342" s="13" t="str">
        <f t="shared" si="25"/>
        <v>TOPCROPSOYBEANSRd55</v>
      </c>
      <c r="J342" s="13">
        <f t="shared" si="26"/>
        <v>0.73008348484525598</v>
      </c>
      <c r="K342" s="14" t="str">
        <f t="shared" si="23"/>
        <v>1 (0)</v>
      </c>
      <c r="L342" s="14" t="str">
        <f t="shared" si="24"/>
        <v>0.73 (0.11)</v>
      </c>
    </row>
    <row r="343" spans="1:12" x14ac:dyDescent="0.25">
      <c r="A343" t="s">
        <v>85</v>
      </c>
      <c r="B343" t="s">
        <v>98</v>
      </c>
      <c r="C343" t="s">
        <v>115</v>
      </c>
      <c r="D343">
        <v>0.78874856777073099</v>
      </c>
      <c r="E343">
        <v>0.110897388577284</v>
      </c>
      <c r="I343" s="13" t="str">
        <f t="shared" si="25"/>
        <v>TOPCROPBARLEYRd55</v>
      </c>
      <c r="J343" s="13">
        <f t="shared" si="26"/>
        <v>0.78874856777073099</v>
      </c>
      <c r="K343" s="14" t="str">
        <f t="shared" si="23"/>
        <v>1 (0)</v>
      </c>
      <c r="L343" s="14" t="str">
        <f t="shared" si="24"/>
        <v>0.79 (0.11)</v>
      </c>
    </row>
    <row r="344" spans="1:12" x14ac:dyDescent="0.25">
      <c r="A344" t="s">
        <v>77</v>
      </c>
      <c r="B344" t="s">
        <v>77</v>
      </c>
      <c r="C344" t="s">
        <v>116</v>
      </c>
      <c r="D344">
        <v>0.85390357635403402</v>
      </c>
      <c r="E344">
        <v>0.11332353561837399</v>
      </c>
      <c r="I344" s="13" t="str">
        <f t="shared" si="25"/>
        <v>FCIPFCIPRd60</v>
      </c>
      <c r="J344" s="13">
        <f t="shared" si="26"/>
        <v>0.85390357635403402</v>
      </c>
      <c r="K344" s="14" t="str">
        <f t="shared" si="23"/>
        <v>1 (0)</v>
      </c>
      <c r="L344" s="14" t="str">
        <f t="shared" si="24"/>
        <v>0.85 (0.11)</v>
      </c>
    </row>
    <row r="345" spans="1:12" x14ac:dyDescent="0.25">
      <c r="A345" t="s">
        <v>79</v>
      </c>
      <c r="B345" t="s">
        <v>80</v>
      </c>
      <c r="C345" t="s">
        <v>116</v>
      </c>
      <c r="D345">
        <v>0.85127511300602998</v>
      </c>
      <c r="E345">
        <v>0.11396689203889999</v>
      </c>
      <c r="I345" s="13" t="str">
        <f t="shared" si="25"/>
        <v>CGRPField CropsRd60</v>
      </c>
      <c r="J345" s="13">
        <f t="shared" si="26"/>
        <v>0.85127511300602998</v>
      </c>
      <c r="K345" s="14" t="str">
        <f t="shared" si="23"/>
        <v>1 (0)</v>
      </c>
      <c r="L345" s="14" t="str">
        <f t="shared" si="24"/>
        <v>0.85 (0.11)</v>
      </c>
    </row>
    <row r="346" spans="1:12" x14ac:dyDescent="0.25">
      <c r="A346" t="s">
        <v>79</v>
      </c>
      <c r="B346" t="s">
        <v>81</v>
      </c>
      <c r="C346" t="s">
        <v>116</v>
      </c>
      <c r="D346">
        <v>0.81198653552912503</v>
      </c>
      <c r="E346">
        <v>6.7908056481066306E-2</v>
      </c>
      <c r="I346" s="13" t="str">
        <f t="shared" si="25"/>
        <v>CGRPNutsRd60</v>
      </c>
      <c r="J346" s="13">
        <f t="shared" si="26"/>
        <v>0.81198653552912503</v>
      </c>
      <c r="K346" s="14" t="str">
        <f t="shared" si="23"/>
        <v>1 (0)</v>
      </c>
      <c r="L346" s="14" t="str">
        <f t="shared" si="24"/>
        <v>0.81 (0.07)</v>
      </c>
    </row>
    <row r="347" spans="1:12" x14ac:dyDescent="0.25">
      <c r="A347" t="s">
        <v>79</v>
      </c>
      <c r="B347" t="s">
        <v>82</v>
      </c>
      <c r="C347" t="s">
        <v>116</v>
      </c>
      <c r="D347">
        <v>0.888217092382244</v>
      </c>
      <c r="E347">
        <v>8.9517932197976102E-2</v>
      </c>
      <c r="I347" s="13" t="str">
        <f t="shared" si="25"/>
        <v>CGRPForagesRd60</v>
      </c>
      <c r="J347" s="13">
        <f t="shared" si="26"/>
        <v>0.888217092382244</v>
      </c>
      <c r="K347" s="14" t="str">
        <f t="shared" si="23"/>
        <v>1 (0)</v>
      </c>
      <c r="L347" s="14" t="str">
        <f t="shared" si="24"/>
        <v>0.89 (0.09)</v>
      </c>
    </row>
    <row r="348" spans="1:12" x14ac:dyDescent="0.25">
      <c r="A348" t="s">
        <v>79</v>
      </c>
      <c r="B348" t="s">
        <v>83</v>
      </c>
      <c r="C348" t="s">
        <v>116</v>
      </c>
      <c r="D348">
        <v>0.87926390903596296</v>
      </c>
      <c r="E348">
        <v>8.3869902870829502E-2</v>
      </c>
      <c r="I348" s="13" t="str">
        <f t="shared" si="25"/>
        <v>CGRPFruitsRd60</v>
      </c>
      <c r="J348" s="13">
        <f t="shared" si="26"/>
        <v>0.87926390903596296</v>
      </c>
      <c r="K348" s="14" t="str">
        <f t="shared" si="23"/>
        <v>1 (0)</v>
      </c>
      <c r="L348" s="14" t="str">
        <f t="shared" si="24"/>
        <v>0.88 (0.08)</v>
      </c>
    </row>
    <row r="349" spans="1:12" x14ac:dyDescent="0.25">
      <c r="A349" t="s">
        <v>79</v>
      </c>
      <c r="B349" t="s">
        <v>84</v>
      </c>
      <c r="C349" t="s">
        <v>116</v>
      </c>
      <c r="D349">
        <v>0.88465740057484699</v>
      </c>
      <c r="E349">
        <v>0.10637692740873</v>
      </c>
      <c r="I349" s="13" t="str">
        <f t="shared" si="25"/>
        <v>CGRPVegetablesRd60</v>
      </c>
      <c r="J349" s="13">
        <f t="shared" si="26"/>
        <v>0.88465740057484699</v>
      </c>
      <c r="K349" s="14" t="str">
        <f t="shared" si="23"/>
        <v>1 (0)</v>
      </c>
      <c r="L349" s="14" t="str">
        <f t="shared" si="24"/>
        <v>0.88 (0.11)</v>
      </c>
    </row>
    <row r="350" spans="1:12" x14ac:dyDescent="0.25">
      <c r="A350" t="s">
        <v>85</v>
      </c>
      <c r="B350" t="s">
        <v>86</v>
      </c>
      <c r="C350" t="s">
        <v>116</v>
      </c>
      <c r="D350">
        <v>0.85548973348184498</v>
      </c>
      <c r="E350">
        <v>0.116468498337229</v>
      </c>
      <c r="I350" s="13" t="str">
        <f t="shared" si="25"/>
        <v>TOPCROPWHEATRd60</v>
      </c>
      <c r="J350" s="13">
        <f t="shared" si="26"/>
        <v>0.85548973348184498</v>
      </c>
      <c r="K350" s="14" t="str">
        <f t="shared" si="23"/>
        <v>1 (0)</v>
      </c>
      <c r="L350" s="14" t="str">
        <f t="shared" si="24"/>
        <v>0.86 (0.12)</v>
      </c>
    </row>
    <row r="351" spans="1:12" x14ac:dyDescent="0.25">
      <c r="A351" t="s">
        <v>85</v>
      </c>
      <c r="B351" t="s">
        <v>87</v>
      </c>
      <c r="C351" t="s">
        <v>116</v>
      </c>
      <c r="D351">
        <v>0.88081377051041898</v>
      </c>
      <c r="E351">
        <v>0.106525274886628</v>
      </c>
      <c r="I351" s="13" t="str">
        <f t="shared" si="25"/>
        <v>TOPCROPCANOLARd60</v>
      </c>
      <c r="J351" s="13">
        <f t="shared" si="26"/>
        <v>0.88081377051041898</v>
      </c>
      <c r="K351" s="14" t="str">
        <f t="shared" si="23"/>
        <v>1 (0)</v>
      </c>
      <c r="L351" s="14" t="str">
        <f t="shared" si="24"/>
        <v>0.88 (0.11)</v>
      </c>
    </row>
    <row r="352" spans="1:12" x14ac:dyDescent="0.25">
      <c r="A352" t="s">
        <v>85</v>
      </c>
      <c r="B352" t="s">
        <v>88</v>
      </c>
      <c r="C352" t="s">
        <v>116</v>
      </c>
      <c r="D352">
        <v>0.87544112741937197</v>
      </c>
      <c r="E352">
        <v>0.106397642745709</v>
      </c>
      <c r="I352" s="13" t="str">
        <f t="shared" si="25"/>
        <v>TOPCROPOTHERRd60</v>
      </c>
      <c r="J352" s="13">
        <f t="shared" si="26"/>
        <v>0.87544112741937197</v>
      </c>
      <c r="K352" s="14" t="str">
        <f t="shared" si="23"/>
        <v>1 (0)</v>
      </c>
      <c r="L352" s="14" t="str">
        <f t="shared" si="24"/>
        <v>0.88 (0.11)</v>
      </c>
    </row>
    <row r="353" spans="1:12" x14ac:dyDescent="0.25">
      <c r="A353" t="s">
        <v>85</v>
      </c>
      <c r="B353" t="s">
        <v>89</v>
      </c>
      <c r="C353" t="s">
        <v>116</v>
      </c>
      <c r="D353">
        <v>0.89304594403715698</v>
      </c>
      <c r="E353">
        <v>8.5355614408531205E-2</v>
      </c>
      <c r="I353" s="13" t="str">
        <f t="shared" si="25"/>
        <v>TOPCROPRICERd60</v>
      </c>
      <c r="J353" s="13">
        <f t="shared" si="26"/>
        <v>0.89304594403715698</v>
      </c>
      <c r="K353" s="14" t="str">
        <f t="shared" si="23"/>
        <v>1 (0)</v>
      </c>
      <c r="L353" s="14" t="str">
        <f t="shared" si="24"/>
        <v>0.89 (0.09)</v>
      </c>
    </row>
    <row r="354" spans="1:12" x14ac:dyDescent="0.25">
      <c r="A354" t="s">
        <v>85</v>
      </c>
      <c r="B354" t="s">
        <v>90</v>
      </c>
      <c r="C354" t="s">
        <v>116</v>
      </c>
      <c r="D354">
        <v>0.86914812434704602</v>
      </c>
      <c r="E354">
        <v>0.12586659017709001</v>
      </c>
      <c r="I354" s="13" t="str">
        <f t="shared" si="25"/>
        <v>TOPCROPCOTTONRd60</v>
      </c>
      <c r="J354" s="13">
        <f t="shared" si="26"/>
        <v>0.86914812434704602</v>
      </c>
      <c r="K354" s="14" t="str">
        <f t="shared" si="23"/>
        <v>1 (0)</v>
      </c>
      <c r="L354" s="14" t="str">
        <f t="shared" si="24"/>
        <v>0.87 (0.13)</v>
      </c>
    </row>
    <row r="355" spans="1:12" x14ac:dyDescent="0.25">
      <c r="A355" t="s">
        <v>85</v>
      </c>
      <c r="B355" t="s">
        <v>91</v>
      </c>
      <c r="C355" t="s">
        <v>116</v>
      </c>
      <c r="D355">
        <v>0.84991032847951198</v>
      </c>
      <c r="E355">
        <v>0.107936482681681</v>
      </c>
      <c r="I355" s="13" t="str">
        <f t="shared" si="25"/>
        <v>TOPCROPSUGAR BEETSRd60</v>
      </c>
      <c r="J355" s="13">
        <f t="shared" si="26"/>
        <v>0.84991032847951198</v>
      </c>
      <c r="K355" s="14" t="str">
        <f t="shared" si="23"/>
        <v>1 (0)</v>
      </c>
      <c r="L355" s="14" t="str">
        <f t="shared" si="24"/>
        <v>0.85 (0.11)</v>
      </c>
    </row>
    <row r="356" spans="1:12" x14ac:dyDescent="0.25">
      <c r="A356" t="s">
        <v>85</v>
      </c>
      <c r="B356" t="s">
        <v>92</v>
      </c>
      <c r="C356" t="s">
        <v>116</v>
      </c>
      <c r="D356">
        <v>0.85169566412173503</v>
      </c>
      <c r="E356">
        <v>0.10886128662422299</v>
      </c>
      <c r="I356" s="13" t="str">
        <f t="shared" si="25"/>
        <v>TOPCROPCORNRd60</v>
      </c>
      <c r="J356" s="13">
        <f t="shared" si="26"/>
        <v>0.85169566412173503</v>
      </c>
      <c r="K356" s="14" t="str">
        <f t="shared" si="23"/>
        <v>1 (0)</v>
      </c>
      <c r="L356" s="14" t="str">
        <f t="shared" si="24"/>
        <v>0.85 (0.11)</v>
      </c>
    </row>
    <row r="357" spans="1:12" x14ac:dyDescent="0.25">
      <c r="A357" t="s">
        <v>85</v>
      </c>
      <c r="B357" t="s">
        <v>93</v>
      </c>
      <c r="C357" t="s">
        <v>116</v>
      </c>
      <c r="D357">
        <v>0.86993960795323499</v>
      </c>
      <c r="E357">
        <v>0.122520515811107</v>
      </c>
      <c r="I357" s="13" t="str">
        <f t="shared" si="25"/>
        <v>TOPCROPDRY BEANSRd60</v>
      </c>
      <c r="J357" s="13">
        <f t="shared" si="26"/>
        <v>0.86993960795323499</v>
      </c>
      <c r="K357" s="14" t="str">
        <f t="shared" si="23"/>
        <v>1 (0)</v>
      </c>
      <c r="L357" s="14" t="str">
        <f t="shared" si="24"/>
        <v>0.87 (0.12)</v>
      </c>
    </row>
    <row r="358" spans="1:12" x14ac:dyDescent="0.25">
      <c r="A358" t="s">
        <v>85</v>
      </c>
      <c r="B358" t="s">
        <v>94</v>
      </c>
      <c r="C358" t="s">
        <v>116</v>
      </c>
      <c r="D358">
        <v>0.84930666061540605</v>
      </c>
      <c r="E358">
        <v>0.13465674814294301</v>
      </c>
      <c r="I358" s="13" t="str">
        <f t="shared" si="25"/>
        <v>TOPCROPSORGHUMRd60</v>
      </c>
      <c r="J358" s="13">
        <f t="shared" si="26"/>
        <v>0.84930666061540605</v>
      </c>
      <c r="K358" s="14" t="str">
        <f t="shared" si="23"/>
        <v>1 (0)</v>
      </c>
      <c r="L358" s="14" t="str">
        <f t="shared" si="24"/>
        <v>0.85 (0.13)</v>
      </c>
    </row>
    <row r="359" spans="1:12" x14ac:dyDescent="0.25">
      <c r="A359" t="s">
        <v>85</v>
      </c>
      <c r="B359" t="s">
        <v>95</v>
      </c>
      <c r="C359" t="s">
        <v>116</v>
      </c>
      <c r="D359">
        <v>0.91610266545602004</v>
      </c>
      <c r="E359">
        <v>5.1326506711272202E-2</v>
      </c>
      <c r="I359" s="13" t="str">
        <f t="shared" si="25"/>
        <v>TOPCROPDRY PEASRd60</v>
      </c>
      <c r="J359" s="13">
        <f t="shared" si="26"/>
        <v>0.91610266545602004</v>
      </c>
      <c r="K359" s="14" t="str">
        <f t="shared" si="23"/>
        <v>1 (0)</v>
      </c>
      <c r="L359" s="14" t="str">
        <f t="shared" si="24"/>
        <v>0.92 (0.05)</v>
      </c>
    </row>
    <row r="360" spans="1:12" x14ac:dyDescent="0.25">
      <c r="A360" t="s">
        <v>85</v>
      </c>
      <c r="B360" t="s">
        <v>96</v>
      </c>
      <c r="C360" t="s">
        <v>116</v>
      </c>
      <c r="D360">
        <v>0.85749563274963203</v>
      </c>
      <c r="E360">
        <v>0.13555362684590899</v>
      </c>
      <c r="I360" s="13" t="str">
        <f t="shared" si="25"/>
        <v>TOPCROPSUNFLOWERSRd60</v>
      </c>
      <c r="J360" s="13">
        <f t="shared" si="26"/>
        <v>0.85749563274963203</v>
      </c>
      <c r="K360" s="14" t="str">
        <f t="shared" si="23"/>
        <v>1 (0)</v>
      </c>
      <c r="L360" s="14" t="str">
        <f t="shared" si="24"/>
        <v>0.86 (0.14)</v>
      </c>
    </row>
    <row r="361" spans="1:12" x14ac:dyDescent="0.25">
      <c r="A361" t="s">
        <v>85</v>
      </c>
      <c r="B361" t="s">
        <v>97</v>
      </c>
      <c r="C361" t="s">
        <v>116</v>
      </c>
      <c r="D361">
        <v>0.82984228057162501</v>
      </c>
      <c r="E361">
        <v>0.10427259407907701</v>
      </c>
      <c r="I361" s="13" t="str">
        <f t="shared" si="25"/>
        <v>TOPCROPSOYBEANSRd60</v>
      </c>
      <c r="J361" s="13">
        <f t="shared" si="26"/>
        <v>0.82984228057162501</v>
      </c>
      <c r="K361" s="14" t="str">
        <f t="shared" si="23"/>
        <v>1 (0)</v>
      </c>
      <c r="L361" s="14" t="str">
        <f t="shared" si="24"/>
        <v>0.83 (0.10)</v>
      </c>
    </row>
    <row r="362" spans="1:12" x14ac:dyDescent="0.25">
      <c r="A362" t="s">
        <v>85</v>
      </c>
      <c r="B362" t="s">
        <v>98</v>
      </c>
      <c r="C362" t="s">
        <v>116</v>
      </c>
      <c r="D362">
        <v>0.868326353617344</v>
      </c>
      <c r="E362">
        <v>0.113584407331174</v>
      </c>
      <c r="I362" s="13" t="str">
        <f t="shared" si="25"/>
        <v>TOPCROPBARLEYRd60</v>
      </c>
      <c r="J362" s="13">
        <f t="shared" si="26"/>
        <v>0.868326353617344</v>
      </c>
      <c r="K362" s="14" t="str">
        <f t="shared" si="23"/>
        <v>1 (0)</v>
      </c>
      <c r="L362" s="14" t="str">
        <f t="shared" si="24"/>
        <v>0.87 (0.11)</v>
      </c>
    </row>
    <row r="363" spans="1:12" x14ac:dyDescent="0.25">
      <c r="A363" t="s">
        <v>77</v>
      </c>
      <c r="B363" t="s">
        <v>77</v>
      </c>
      <c r="C363" t="s">
        <v>117</v>
      </c>
      <c r="D363">
        <v>0.95484659348363798</v>
      </c>
      <c r="E363">
        <v>0.11369525255464299</v>
      </c>
      <c r="I363" s="13" t="str">
        <f t="shared" si="25"/>
        <v>FCIPFCIPRd65</v>
      </c>
      <c r="J363" s="13">
        <f t="shared" si="26"/>
        <v>0.95484659348363798</v>
      </c>
      <c r="K363" s="14" t="str">
        <f t="shared" si="23"/>
        <v>1 (0)</v>
      </c>
      <c r="L363" s="14" t="str">
        <f t="shared" si="24"/>
        <v>0.95 (0.11)</v>
      </c>
    </row>
    <row r="364" spans="1:12" x14ac:dyDescent="0.25">
      <c r="A364" t="s">
        <v>79</v>
      </c>
      <c r="B364" t="s">
        <v>80</v>
      </c>
      <c r="C364" t="s">
        <v>117</v>
      </c>
      <c r="D364">
        <v>0.95347889700972999</v>
      </c>
      <c r="E364">
        <v>0.11500819761459399</v>
      </c>
      <c r="I364" s="13" t="str">
        <f t="shared" si="25"/>
        <v>CGRPField CropsRd65</v>
      </c>
      <c r="J364" s="13">
        <f t="shared" si="26"/>
        <v>0.95347889700972999</v>
      </c>
      <c r="K364" s="14" t="str">
        <f t="shared" si="23"/>
        <v>1 (0)</v>
      </c>
      <c r="L364" s="14" t="str">
        <f t="shared" si="24"/>
        <v>0.95 (0.12)</v>
      </c>
    </row>
    <row r="365" spans="1:12" x14ac:dyDescent="0.25">
      <c r="A365" t="s">
        <v>79</v>
      </c>
      <c r="B365" t="s">
        <v>81</v>
      </c>
      <c r="C365" t="s">
        <v>117</v>
      </c>
      <c r="D365">
        <v>0.97950594693504101</v>
      </c>
      <c r="E365">
        <v>8.2213723595184904E-2</v>
      </c>
      <c r="I365" s="13" t="str">
        <f t="shared" si="25"/>
        <v>CGRPNutsRd65</v>
      </c>
      <c r="J365" s="13">
        <f t="shared" si="26"/>
        <v>0.97950594693504101</v>
      </c>
      <c r="K365" s="14" t="str">
        <f t="shared" si="23"/>
        <v>1 (0)</v>
      </c>
      <c r="L365" s="14" t="str">
        <f t="shared" si="24"/>
        <v>0.98 (0.08)</v>
      </c>
    </row>
    <row r="366" spans="1:12" x14ac:dyDescent="0.25">
      <c r="A366" t="s">
        <v>79</v>
      </c>
      <c r="B366" t="s">
        <v>82</v>
      </c>
      <c r="C366" t="s">
        <v>117</v>
      </c>
      <c r="D366">
        <v>0.97656159958209598</v>
      </c>
      <c r="E366">
        <v>8.7072531575974693E-2</v>
      </c>
      <c r="I366" s="13" t="str">
        <f t="shared" si="25"/>
        <v>CGRPForagesRd65</v>
      </c>
      <c r="J366" s="13">
        <f t="shared" si="26"/>
        <v>0.97656159958209598</v>
      </c>
      <c r="K366" s="14" t="str">
        <f t="shared" si="23"/>
        <v>1 (0)</v>
      </c>
      <c r="L366" s="14" t="str">
        <f t="shared" si="24"/>
        <v>0.98 (0.09)</v>
      </c>
    </row>
    <row r="367" spans="1:12" x14ac:dyDescent="0.25">
      <c r="A367" t="s">
        <v>79</v>
      </c>
      <c r="B367" t="s">
        <v>83</v>
      </c>
      <c r="C367" t="s">
        <v>117</v>
      </c>
      <c r="D367">
        <v>0.99630553037171399</v>
      </c>
      <c r="E367">
        <v>2.6849628064914598E-2</v>
      </c>
      <c r="I367" s="13" t="str">
        <f t="shared" si="25"/>
        <v>CGRPFruitsRd65</v>
      </c>
      <c r="J367" s="13">
        <f t="shared" si="26"/>
        <v>0.99630553037171399</v>
      </c>
      <c r="K367" s="14" t="str">
        <f t="shared" si="23"/>
        <v>1 (0)</v>
      </c>
      <c r="L367" s="14" t="str">
        <f t="shared" si="24"/>
        <v>1.00 (0.03)</v>
      </c>
    </row>
    <row r="368" spans="1:12" x14ac:dyDescent="0.25">
      <c r="A368" t="s">
        <v>79</v>
      </c>
      <c r="B368" t="s">
        <v>84</v>
      </c>
      <c r="C368" t="s">
        <v>117</v>
      </c>
      <c r="D368">
        <v>0.96621788880749704</v>
      </c>
      <c r="E368">
        <v>0.101970432944982</v>
      </c>
      <c r="I368" s="13" t="str">
        <f t="shared" si="25"/>
        <v>CGRPVegetablesRd65</v>
      </c>
      <c r="J368" s="13">
        <f t="shared" si="26"/>
        <v>0.96621788880749704</v>
      </c>
      <c r="K368" s="14" t="str">
        <f t="shared" si="23"/>
        <v>1 (0)</v>
      </c>
      <c r="L368" s="14" t="str">
        <f t="shared" si="24"/>
        <v>0.97 (0.10)</v>
      </c>
    </row>
    <row r="369" spans="1:12" x14ac:dyDescent="0.25">
      <c r="A369" t="s">
        <v>85</v>
      </c>
      <c r="B369" t="s">
        <v>86</v>
      </c>
      <c r="C369" t="s">
        <v>117</v>
      </c>
      <c r="D369">
        <v>0.95122134071595099</v>
      </c>
      <c r="E369">
        <v>0.11681639134701401</v>
      </c>
      <c r="I369" s="13" t="str">
        <f t="shared" si="25"/>
        <v>TOPCROPWHEATRd65</v>
      </c>
      <c r="J369" s="13">
        <f t="shared" si="26"/>
        <v>0.95122134071595099</v>
      </c>
      <c r="K369" s="14" t="str">
        <f t="shared" si="23"/>
        <v>1 (0)</v>
      </c>
      <c r="L369" s="14" t="str">
        <f t="shared" si="24"/>
        <v>0.95 (0.12)</v>
      </c>
    </row>
    <row r="370" spans="1:12" x14ac:dyDescent="0.25">
      <c r="A370" t="s">
        <v>85</v>
      </c>
      <c r="B370" t="s">
        <v>87</v>
      </c>
      <c r="C370" t="s">
        <v>117</v>
      </c>
      <c r="D370">
        <v>0.96493196677858295</v>
      </c>
      <c r="E370">
        <v>0.105099936288511</v>
      </c>
      <c r="I370" s="13" t="str">
        <f t="shared" si="25"/>
        <v>TOPCROPCANOLARd65</v>
      </c>
      <c r="J370" s="13">
        <f t="shared" si="26"/>
        <v>0.96493196677858295</v>
      </c>
      <c r="K370" s="14" t="str">
        <f t="shared" si="23"/>
        <v>1 (0)</v>
      </c>
      <c r="L370" s="14" t="str">
        <f t="shared" si="24"/>
        <v>0.96 (0.11)</v>
      </c>
    </row>
    <row r="371" spans="1:12" x14ac:dyDescent="0.25">
      <c r="A371" t="s">
        <v>85</v>
      </c>
      <c r="B371" t="s">
        <v>88</v>
      </c>
      <c r="C371" t="s">
        <v>117</v>
      </c>
      <c r="D371">
        <v>0.96659927455551298</v>
      </c>
      <c r="E371">
        <v>0.10277853313332699</v>
      </c>
      <c r="I371" s="13" t="str">
        <f t="shared" si="25"/>
        <v>TOPCROPOTHERRd65</v>
      </c>
      <c r="J371" s="13">
        <f t="shared" si="26"/>
        <v>0.96659927455551298</v>
      </c>
      <c r="K371" s="14" t="str">
        <f t="shared" si="23"/>
        <v>1 (0)</v>
      </c>
      <c r="L371" s="14" t="str">
        <f t="shared" si="24"/>
        <v>0.97 (0.10)</v>
      </c>
    </row>
    <row r="372" spans="1:12" x14ac:dyDescent="0.25">
      <c r="A372" t="s">
        <v>85</v>
      </c>
      <c r="B372" t="s">
        <v>89</v>
      </c>
      <c r="C372" t="s">
        <v>117</v>
      </c>
      <c r="D372">
        <v>0.97400611620795097</v>
      </c>
      <c r="E372">
        <v>7.63122746382216E-2</v>
      </c>
      <c r="I372" s="13" t="str">
        <f t="shared" si="25"/>
        <v>TOPCROPRICERd65</v>
      </c>
      <c r="J372" s="13">
        <f t="shared" si="26"/>
        <v>0.97400611620795097</v>
      </c>
      <c r="K372" s="14" t="str">
        <f t="shared" si="23"/>
        <v>1 (0)</v>
      </c>
      <c r="L372" s="14" t="str">
        <f t="shared" si="24"/>
        <v>0.97 (0.08)</v>
      </c>
    </row>
    <row r="373" spans="1:12" x14ac:dyDescent="0.25">
      <c r="A373" t="s">
        <v>85</v>
      </c>
      <c r="B373" t="s">
        <v>90</v>
      </c>
      <c r="C373" t="s">
        <v>117</v>
      </c>
      <c r="D373">
        <v>0.94946352423311497</v>
      </c>
      <c r="E373">
        <v>0.12302104741224</v>
      </c>
      <c r="I373" s="13" t="str">
        <f t="shared" si="25"/>
        <v>TOPCROPCOTTONRd65</v>
      </c>
      <c r="J373" s="13">
        <f t="shared" si="26"/>
        <v>0.94946352423311497</v>
      </c>
      <c r="K373" s="14" t="str">
        <f t="shared" si="23"/>
        <v>1 (0)</v>
      </c>
      <c r="L373" s="14" t="str">
        <f t="shared" si="24"/>
        <v>0.95 (0.12)</v>
      </c>
    </row>
    <row r="374" spans="1:12" x14ac:dyDescent="0.25">
      <c r="A374" t="s">
        <v>85</v>
      </c>
      <c r="B374" t="s">
        <v>91</v>
      </c>
      <c r="C374" t="s">
        <v>117</v>
      </c>
      <c r="D374">
        <v>0.94871317304436198</v>
      </c>
      <c r="E374">
        <v>0.113517470656119</v>
      </c>
      <c r="I374" s="13" t="str">
        <f t="shared" si="25"/>
        <v>TOPCROPSUGAR BEETSRd65</v>
      </c>
      <c r="J374" s="13">
        <f t="shared" si="26"/>
        <v>0.94871317304436198</v>
      </c>
      <c r="K374" s="14" t="str">
        <f t="shared" si="23"/>
        <v>1 (0)</v>
      </c>
      <c r="L374" s="14" t="str">
        <f t="shared" si="24"/>
        <v>0.95 (0.11)</v>
      </c>
    </row>
    <row r="375" spans="1:12" x14ac:dyDescent="0.25">
      <c r="A375" t="s">
        <v>85</v>
      </c>
      <c r="B375" t="s">
        <v>92</v>
      </c>
      <c r="C375" t="s">
        <v>117</v>
      </c>
      <c r="D375">
        <v>0.95462816266356498</v>
      </c>
      <c r="E375">
        <v>0.111377618410279</v>
      </c>
      <c r="I375" s="13" t="str">
        <f t="shared" si="25"/>
        <v>TOPCROPCORNRd65</v>
      </c>
      <c r="J375" s="13">
        <f t="shared" si="26"/>
        <v>0.95462816266356498</v>
      </c>
      <c r="K375" s="14" t="str">
        <f t="shared" si="23"/>
        <v>1 (0)</v>
      </c>
      <c r="L375" s="14" t="str">
        <f t="shared" si="24"/>
        <v>0.95 (0.11)</v>
      </c>
    </row>
    <row r="376" spans="1:12" x14ac:dyDescent="0.25">
      <c r="A376" t="s">
        <v>85</v>
      </c>
      <c r="B376" t="s">
        <v>93</v>
      </c>
      <c r="C376" t="s">
        <v>117</v>
      </c>
      <c r="D376">
        <v>0.951903318606802</v>
      </c>
      <c r="E376">
        <v>0.120504330664904</v>
      </c>
      <c r="I376" s="13" t="str">
        <f t="shared" si="25"/>
        <v>TOPCROPDRY BEANSRd65</v>
      </c>
      <c r="J376" s="13">
        <f t="shared" si="26"/>
        <v>0.951903318606802</v>
      </c>
      <c r="K376" s="14" t="str">
        <f t="shared" si="23"/>
        <v>1 (0)</v>
      </c>
      <c r="L376" s="14" t="str">
        <f t="shared" si="24"/>
        <v>0.95 (0.12)</v>
      </c>
    </row>
    <row r="377" spans="1:12" x14ac:dyDescent="0.25">
      <c r="A377" t="s">
        <v>85</v>
      </c>
      <c r="B377" t="s">
        <v>94</v>
      </c>
      <c r="C377" t="s">
        <v>117</v>
      </c>
      <c r="D377">
        <v>0.93606458217011002</v>
      </c>
      <c r="E377">
        <v>0.13524083738464801</v>
      </c>
      <c r="I377" s="13" t="str">
        <f t="shared" si="25"/>
        <v>TOPCROPSORGHUMRd65</v>
      </c>
      <c r="J377" s="13">
        <f t="shared" si="26"/>
        <v>0.93606458217011002</v>
      </c>
      <c r="K377" s="14" t="str">
        <f t="shared" si="23"/>
        <v>1 (0)</v>
      </c>
      <c r="L377" s="14" t="str">
        <f t="shared" si="24"/>
        <v>0.94 (0.14)</v>
      </c>
    </row>
    <row r="378" spans="1:12" x14ac:dyDescent="0.25">
      <c r="A378" t="s">
        <v>85</v>
      </c>
      <c r="B378" t="s">
        <v>95</v>
      </c>
      <c r="C378" t="s">
        <v>117</v>
      </c>
      <c r="D378">
        <v>0.99270333922112897</v>
      </c>
      <c r="E378">
        <v>4.2084116998608499E-2</v>
      </c>
      <c r="I378" s="13" t="str">
        <f t="shared" si="25"/>
        <v>TOPCROPDRY PEASRd65</v>
      </c>
      <c r="J378" s="13">
        <f t="shared" si="26"/>
        <v>0.99270333922112897</v>
      </c>
      <c r="K378" s="14" t="str">
        <f t="shared" si="23"/>
        <v>1 (0)</v>
      </c>
      <c r="L378" s="14" t="str">
        <f t="shared" si="24"/>
        <v>0.99 (0.04)</v>
      </c>
    </row>
    <row r="379" spans="1:12" x14ac:dyDescent="0.25">
      <c r="A379" t="s">
        <v>85</v>
      </c>
      <c r="B379" t="s">
        <v>96</v>
      </c>
      <c r="C379" t="s">
        <v>117</v>
      </c>
      <c r="D379">
        <v>0.937536005760922</v>
      </c>
      <c r="E379">
        <v>0.134021361294963</v>
      </c>
      <c r="I379" s="13" t="str">
        <f t="shared" si="25"/>
        <v>TOPCROPSUNFLOWERSRd65</v>
      </c>
      <c r="J379" s="13">
        <f t="shared" si="26"/>
        <v>0.937536005760922</v>
      </c>
      <c r="K379" s="14" t="str">
        <f t="shared" si="23"/>
        <v>1 (0)</v>
      </c>
      <c r="L379" s="14" t="str">
        <f t="shared" si="24"/>
        <v>0.94 (0.13)</v>
      </c>
    </row>
    <row r="380" spans="1:12" x14ac:dyDescent="0.25">
      <c r="A380" t="s">
        <v>85</v>
      </c>
      <c r="B380" t="s">
        <v>97</v>
      </c>
      <c r="C380" t="s">
        <v>117</v>
      </c>
      <c r="D380">
        <v>0.95614688250695501</v>
      </c>
      <c r="E380">
        <v>0.110946506033464</v>
      </c>
      <c r="I380" s="13" t="str">
        <f t="shared" si="25"/>
        <v>TOPCROPSOYBEANSRd65</v>
      </c>
      <c r="J380" s="13">
        <f t="shared" si="26"/>
        <v>0.95614688250695501</v>
      </c>
      <c r="K380" s="14" t="str">
        <f t="shared" si="23"/>
        <v>1 (0)</v>
      </c>
      <c r="L380" s="14" t="str">
        <f t="shared" si="24"/>
        <v>0.96 (0.11)</v>
      </c>
    </row>
    <row r="381" spans="1:12" x14ac:dyDescent="0.25">
      <c r="A381" t="s">
        <v>85</v>
      </c>
      <c r="B381" t="s">
        <v>98</v>
      </c>
      <c r="C381" t="s">
        <v>117</v>
      </c>
      <c r="D381">
        <v>0.95838978634705596</v>
      </c>
      <c r="E381">
        <v>0.113281254194688</v>
      </c>
      <c r="I381" s="13" t="str">
        <f t="shared" si="25"/>
        <v>TOPCROPBARLEYRd65</v>
      </c>
      <c r="J381" s="13">
        <f t="shared" si="26"/>
        <v>0.95838978634705596</v>
      </c>
      <c r="K381" s="14" t="str">
        <f t="shared" si="23"/>
        <v>1 (0)</v>
      </c>
      <c r="L381" s="14" t="str">
        <f t="shared" si="24"/>
        <v>0.96 (0.11)</v>
      </c>
    </row>
    <row r="382" spans="1:12" x14ac:dyDescent="0.25">
      <c r="A382" t="s">
        <v>77</v>
      </c>
      <c r="B382" t="s">
        <v>77</v>
      </c>
      <c r="C382" t="s">
        <v>118</v>
      </c>
      <c r="D382">
        <v>1.07613439708825</v>
      </c>
      <c r="E382">
        <v>0.11856470481202901</v>
      </c>
      <c r="I382" s="13" t="str">
        <f t="shared" si="25"/>
        <v>FCIPFCIPRd70</v>
      </c>
      <c r="J382" s="13">
        <f t="shared" si="26"/>
        <v>1.07613439708825</v>
      </c>
      <c r="K382" s="14" t="str">
        <f t="shared" si="23"/>
        <v>1 (0)</v>
      </c>
      <c r="L382" s="14" t="str">
        <f t="shared" si="24"/>
        <v>1.08 (0.12)</v>
      </c>
    </row>
    <row r="383" spans="1:12" x14ac:dyDescent="0.25">
      <c r="A383" t="s">
        <v>79</v>
      </c>
      <c r="B383" t="s">
        <v>80</v>
      </c>
      <c r="C383" t="s">
        <v>118</v>
      </c>
      <c r="D383">
        <v>1.0760386359352001</v>
      </c>
      <c r="E383">
        <v>0.119912901446993</v>
      </c>
      <c r="I383" s="13" t="str">
        <f t="shared" si="25"/>
        <v>CGRPField CropsRd70</v>
      </c>
      <c r="J383" s="13">
        <f t="shared" si="26"/>
        <v>1.0760386359352001</v>
      </c>
      <c r="K383" s="14" t="str">
        <f t="shared" si="23"/>
        <v>1 (0)</v>
      </c>
      <c r="L383" s="14" t="str">
        <f t="shared" si="24"/>
        <v>1.08 (0.12)</v>
      </c>
    </row>
    <row r="384" spans="1:12" x14ac:dyDescent="0.25">
      <c r="A384" t="s">
        <v>79</v>
      </c>
      <c r="B384" t="s">
        <v>81</v>
      </c>
      <c r="C384" t="s">
        <v>118</v>
      </c>
      <c r="D384">
        <v>1.1907813205245501</v>
      </c>
      <c r="E384">
        <v>0.104271098210743</v>
      </c>
      <c r="I384" s="13" t="str">
        <f t="shared" si="25"/>
        <v>CGRPNutsRd70</v>
      </c>
      <c r="J384" s="13">
        <f t="shared" si="26"/>
        <v>1.1907813205245501</v>
      </c>
      <c r="K384" s="14" t="str">
        <f t="shared" si="23"/>
        <v>1 (0)</v>
      </c>
      <c r="L384" s="14" t="str">
        <f t="shared" si="24"/>
        <v>1.19 (0.10)</v>
      </c>
    </row>
    <row r="385" spans="1:12" x14ac:dyDescent="0.25">
      <c r="A385" t="s">
        <v>79</v>
      </c>
      <c r="B385" t="s">
        <v>82</v>
      </c>
      <c r="C385" t="s">
        <v>118</v>
      </c>
      <c r="D385">
        <v>1.0809403007546401</v>
      </c>
      <c r="E385">
        <v>9.0184569208626997E-2</v>
      </c>
      <c r="I385" s="13" t="str">
        <f t="shared" si="25"/>
        <v>CGRPForagesRd70</v>
      </c>
      <c r="J385" s="13">
        <f t="shared" si="26"/>
        <v>1.0809403007546401</v>
      </c>
      <c r="K385" s="14" t="str">
        <f t="shared" si="23"/>
        <v>1 (0)</v>
      </c>
      <c r="L385" s="14" t="str">
        <f t="shared" si="24"/>
        <v>1.08 (0.09)</v>
      </c>
    </row>
    <row r="386" spans="1:12" x14ac:dyDescent="0.25">
      <c r="A386" t="s">
        <v>79</v>
      </c>
      <c r="B386" t="s">
        <v>83</v>
      </c>
      <c r="C386" t="s">
        <v>118</v>
      </c>
      <c r="D386">
        <v>1.12525553037171</v>
      </c>
      <c r="E386">
        <v>9.4885549421363097E-2</v>
      </c>
      <c r="I386" s="13" t="str">
        <f t="shared" si="25"/>
        <v>CGRPFruitsRd70</v>
      </c>
      <c r="J386" s="13">
        <f t="shared" si="26"/>
        <v>1.12525553037171</v>
      </c>
      <c r="K386" s="14" t="str">
        <f t="shared" si="23"/>
        <v>1 (0)</v>
      </c>
      <c r="L386" s="14" t="str">
        <f t="shared" si="24"/>
        <v>1.13 (0.09)</v>
      </c>
    </row>
    <row r="387" spans="1:12" x14ac:dyDescent="0.25">
      <c r="A387" t="s">
        <v>79</v>
      </c>
      <c r="B387" t="s">
        <v>84</v>
      </c>
      <c r="C387" t="s">
        <v>118</v>
      </c>
      <c r="D387">
        <v>1.06972832965919</v>
      </c>
      <c r="E387">
        <v>0.10430370213625299</v>
      </c>
      <c r="I387" s="13" t="str">
        <f t="shared" si="25"/>
        <v>CGRPVegetablesRd70</v>
      </c>
      <c r="J387" s="13">
        <f t="shared" si="26"/>
        <v>1.06972832965919</v>
      </c>
      <c r="K387" s="14" t="str">
        <f t="shared" ref="K387:K450" si="27">TEXT(D387,"0")&amp;" ("&amp;TEXT(E387,"0")&amp;")"</f>
        <v>1 (0)</v>
      </c>
      <c r="L387" s="14" t="str">
        <f t="shared" ref="L387:L450" si="28">TEXT(D387,"0.00")&amp;" ("&amp;TEXT(E387,"0.00")&amp;")"</f>
        <v>1.07 (0.10)</v>
      </c>
    </row>
    <row r="388" spans="1:12" x14ac:dyDescent="0.25">
      <c r="A388" t="s">
        <v>85</v>
      </c>
      <c r="B388" t="s">
        <v>86</v>
      </c>
      <c r="C388" t="s">
        <v>118</v>
      </c>
      <c r="D388">
        <v>1.0599629774577499</v>
      </c>
      <c r="E388">
        <v>0.11245305933203199</v>
      </c>
      <c r="I388" s="13" t="str">
        <f t="shared" ref="I388:I451" si="29">_xlfn.CONCAT(A388:C388)</f>
        <v>TOPCROPWHEATRd70</v>
      </c>
      <c r="J388" s="13">
        <f t="shared" ref="J388:J451" si="30">D388</f>
        <v>1.0599629774577499</v>
      </c>
      <c r="K388" s="14" t="str">
        <f t="shared" si="27"/>
        <v>1 (0)</v>
      </c>
      <c r="L388" s="14" t="str">
        <f t="shared" si="28"/>
        <v>1.06 (0.11)</v>
      </c>
    </row>
    <row r="389" spans="1:12" x14ac:dyDescent="0.25">
      <c r="A389" t="s">
        <v>85</v>
      </c>
      <c r="B389" t="s">
        <v>87</v>
      </c>
      <c r="C389" t="s">
        <v>118</v>
      </c>
      <c r="D389">
        <v>1.0623694863828499</v>
      </c>
      <c r="E389">
        <v>9.2509243428707102E-2</v>
      </c>
      <c r="I389" s="13" t="str">
        <f t="shared" si="29"/>
        <v>TOPCROPCANOLARd70</v>
      </c>
      <c r="J389" s="13">
        <f t="shared" si="30"/>
        <v>1.0623694863828499</v>
      </c>
      <c r="K389" s="14" t="str">
        <f t="shared" si="27"/>
        <v>1 (0)</v>
      </c>
      <c r="L389" s="14" t="str">
        <f t="shared" si="28"/>
        <v>1.06 (0.09)</v>
      </c>
    </row>
    <row r="390" spans="1:12" x14ac:dyDescent="0.25">
      <c r="A390" t="s">
        <v>85</v>
      </c>
      <c r="B390" t="s">
        <v>88</v>
      </c>
      <c r="C390" t="s">
        <v>118</v>
      </c>
      <c r="D390">
        <v>1.08302875057698</v>
      </c>
      <c r="E390">
        <v>0.11120868269287</v>
      </c>
      <c r="I390" s="13" t="str">
        <f t="shared" si="29"/>
        <v>TOPCROPOTHERRd70</v>
      </c>
      <c r="J390" s="13">
        <f t="shared" si="30"/>
        <v>1.08302875057698</v>
      </c>
      <c r="K390" s="14" t="str">
        <f t="shared" si="27"/>
        <v>1 (0)</v>
      </c>
      <c r="L390" s="14" t="str">
        <f t="shared" si="28"/>
        <v>1.08 (0.11)</v>
      </c>
    </row>
    <row r="391" spans="1:12" x14ac:dyDescent="0.25">
      <c r="A391" t="s">
        <v>85</v>
      </c>
      <c r="B391" t="s">
        <v>89</v>
      </c>
      <c r="C391" t="s">
        <v>118</v>
      </c>
      <c r="D391">
        <v>1.0749350719150501</v>
      </c>
      <c r="E391">
        <v>8.8213260150242195E-2</v>
      </c>
      <c r="I391" s="13" t="str">
        <f t="shared" si="29"/>
        <v>TOPCROPRICERd70</v>
      </c>
      <c r="J391" s="13">
        <f t="shared" si="30"/>
        <v>1.0749350719150501</v>
      </c>
      <c r="K391" s="14" t="str">
        <f t="shared" si="27"/>
        <v>1 (0)</v>
      </c>
      <c r="L391" s="14" t="str">
        <f t="shared" si="28"/>
        <v>1.07 (0.09)</v>
      </c>
    </row>
    <row r="392" spans="1:12" x14ac:dyDescent="0.25">
      <c r="A392" t="s">
        <v>85</v>
      </c>
      <c r="B392" t="s">
        <v>90</v>
      </c>
      <c r="C392" t="s">
        <v>118</v>
      </c>
      <c r="D392">
        <v>1.0458353721643801</v>
      </c>
      <c r="E392">
        <v>0.109516923539578</v>
      </c>
      <c r="I392" s="13" t="str">
        <f t="shared" si="29"/>
        <v>TOPCROPCOTTONRd70</v>
      </c>
      <c r="J392" s="13">
        <f t="shared" si="30"/>
        <v>1.0458353721643801</v>
      </c>
      <c r="K392" s="14" t="str">
        <f t="shared" si="27"/>
        <v>1 (0)</v>
      </c>
      <c r="L392" s="14" t="str">
        <f t="shared" si="28"/>
        <v>1.05 (0.11)</v>
      </c>
    </row>
    <row r="393" spans="1:12" x14ac:dyDescent="0.25">
      <c r="A393" t="s">
        <v>85</v>
      </c>
      <c r="B393" t="s">
        <v>91</v>
      </c>
      <c r="C393" t="s">
        <v>118</v>
      </c>
      <c r="D393">
        <v>1.0781947511005801</v>
      </c>
      <c r="E393">
        <v>0.12179435242685301</v>
      </c>
      <c r="I393" s="13" t="str">
        <f t="shared" si="29"/>
        <v>TOPCROPSUGAR BEETSRd70</v>
      </c>
      <c r="J393" s="13">
        <f t="shared" si="30"/>
        <v>1.0781947511005801</v>
      </c>
      <c r="K393" s="14" t="str">
        <f t="shared" si="27"/>
        <v>1 (0)</v>
      </c>
      <c r="L393" s="14" t="str">
        <f t="shared" si="28"/>
        <v>1.08 (0.12)</v>
      </c>
    </row>
    <row r="394" spans="1:12" x14ac:dyDescent="0.25">
      <c r="A394" t="s">
        <v>85</v>
      </c>
      <c r="B394" t="s">
        <v>92</v>
      </c>
      <c r="C394" t="s">
        <v>118</v>
      </c>
      <c r="D394">
        <v>1.0755665411717501</v>
      </c>
      <c r="E394">
        <v>0.114075705169149</v>
      </c>
      <c r="I394" s="13" t="str">
        <f t="shared" si="29"/>
        <v>TOPCROPCORNRd70</v>
      </c>
      <c r="J394" s="13">
        <f t="shared" si="30"/>
        <v>1.0755665411717501</v>
      </c>
      <c r="K394" s="14" t="str">
        <f t="shared" si="27"/>
        <v>1 (0)</v>
      </c>
      <c r="L394" s="14" t="str">
        <f t="shared" si="28"/>
        <v>1.08 (0.11)</v>
      </c>
    </row>
    <row r="395" spans="1:12" x14ac:dyDescent="0.25">
      <c r="A395" t="s">
        <v>85</v>
      </c>
      <c r="B395" t="s">
        <v>93</v>
      </c>
      <c r="C395" t="s">
        <v>118</v>
      </c>
      <c r="D395">
        <v>1.0600547101381901</v>
      </c>
      <c r="E395">
        <v>0.120336708997537</v>
      </c>
      <c r="I395" s="13" t="str">
        <f t="shared" si="29"/>
        <v>TOPCROPDRY BEANSRd70</v>
      </c>
      <c r="J395" s="13">
        <f t="shared" si="30"/>
        <v>1.0600547101381901</v>
      </c>
      <c r="K395" s="14" t="str">
        <f t="shared" si="27"/>
        <v>1 (0)</v>
      </c>
      <c r="L395" s="14" t="str">
        <f t="shared" si="28"/>
        <v>1.06 (0.12)</v>
      </c>
    </row>
    <row r="396" spans="1:12" x14ac:dyDescent="0.25">
      <c r="A396" t="s">
        <v>85</v>
      </c>
      <c r="B396" t="s">
        <v>94</v>
      </c>
      <c r="C396" t="s">
        <v>118</v>
      </c>
      <c r="D396">
        <v>1.0426980832186099</v>
      </c>
      <c r="E396">
        <v>0.123596253183654</v>
      </c>
      <c r="I396" s="13" t="str">
        <f t="shared" si="29"/>
        <v>TOPCROPSORGHUMRd70</v>
      </c>
      <c r="J396" s="13">
        <f t="shared" si="30"/>
        <v>1.0426980832186099</v>
      </c>
      <c r="K396" s="14" t="str">
        <f t="shared" si="27"/>
        <v>1 (0)</v>
      </c>
      <c r="L396" s="14" t="str">
        <f t="shared" si="28"/>
        <v>1.04 (0.12)</v>
      </c>
    </row>
    <row r="397" spans="1:12" x14ac:dyDescent="0.25">
      <c r="A397" t="s">
        <v>85</v>
      </c>
      <c r="B397" t="s">
        <v>95</v>
      </c>
      <c r="C397" t="s">
        <v>118</v>
      </c>
      <c r="D397">
        <v>1.0788976565448001</v>
      </c>
      <c r="E397">
        <v>5.04989344518567E-2</v>
      </c>
      <c r="I397" s="13" t="str">
        <f t="shared" si="29"/>
        <v>TOPCROPDRY PEASRd70</v>
      </c>
      <c r="J397" s="13">
        <f t="shared" si="30"/>
        <v>1.0788976565448001</v>
      </c>
      <c r="K397" s="14" t="str">
        <f t="shared" si="27"/>
        <v>1 (0)</v>
      </c>
      <c r="L397" s="14" t="str">
        <f t="shared" si="28"/>
        <v>1.08 (0.05)</v>
      </c>
    </row>
    <row r="398" spans="1:12" x14ac:dyDescent="0.25">
      <c r="A398" t="s">
        <v>85</v>
      </c>
      <c r="B398" t="s">
        <v>96</v>
      </c>
      <c r="C398" t="s">
        <v>118</v>
      </c>
      <c r="D398">
        <v>1.0322439663262</v>
      </c>
      <c r="E398">
        <v>0.112359045163531</v>
      </c>
      <c r="I398" s="13" t="str">
        <f t="shared" si="29"/>
        <v>TOPCROPSUNFLOWERSRd70</v>
      </c>
      <c r="J398" s="13">
        <f t="shared" si="30"/>
        <v>1.0322439663262</v>
      </c>
      <c r="K398" s="14" t="str">
        <f t="shared" si="27"/>
        <v>1 (0)</v>
      </c>
      <c r="L398" s="14" t="str">
        <f t="shared" si="28"/>
        <v>1.03 (0.11)</v>
      </c>
    </row>
    <row r="399" spans="1:12" x14ac:dyDescent="0.25">
      <c r="A399" t="s">
        <v>85</v>
      </c>
      <c r="B399" t="s">
        <v>97</v>
      </c>
      <c r="C399" t="s">
        <v>118</v>
      </c>
      <c r="D399">
        <v>1.1121509831802701</v>
      </c>
      <c r="E399">
        <v>0.13071789936844899</v>
      </c>
      <c r="I399" s="13" t="str">
        <f t="shared" si="29"/>
        <v>TOPCROPSOYBEANSRd70</v>
      </c>
      <c r="J399" s="13">
        <f t="shared" si="30"/>
        <v>1.1121509831802701</v>
      </c>
      <c r="K399" s="14" t="str">
        <f t="shared" si="27"/>
        <v>1 (0)</v>
      </c>
      <c r="L399" s="14" t="str">
        <f t="shared" si="28"/>
        <v>1.11 (0.13)</v>
      </c>
    </row>
    <row r="400" spans="1:12" x14ac:dyDescent="0.25">
      <c r="A400" t="s">
        <v>85</v>
      </c>
      <c r="B400" t="s">
        <v>98</v>
      </c>
      <c r="C400" t="s">
        <v>118</v>
      </c>
      <c r="D400">
        <v>1.0623882664552</v>
      </c>
      <c r="E400">
        <v>0.10242272076371201</v>
      </c>
      <c r="I400" s="13" t="str">
        <f t="shared" si="29"/>
        <v>TOPCROPBARLEYRd70</v>
      </c>
      <c r="J400" s="13">
        <f t="shared" si="30"/>
        <v>1.0623882664552</v>
      </c>
      <c r="K400" s="14" t="str">
        <f t="shared" si="27"/>
        <v>1 (0)</v>
      </c>
      <c r="L400" s="14" t="str">
        <f t="shared" si="28"/>
        <v>1.06 (0.10)</v>
      </c>
    </row>
    <row r="401" spans="1:12" x14ac:dyDescent="0.25">
      <c r="A401" t="s">
        <v>77</v>
      </c>
      <c r="B401" t="s">
        <v>77</v>
      </c>
      <c r="C401" t="s">
        <v>119</v>
      </c>
      <c r="D401">
        <v>1.2198891049396601</v>
      </c>
      <c r="E401">
        <v>0.144194567748267</v>
      </c>
      <c r="I401" s="13" t="str">
        <f t="shared" si="29"/>
        <v>FCIPFCIPRd75</v>
      </c>
      <c r="J401" s="13">
        <f t="shared" si="30"/>
        <v>1.2198891049396601</v>
      </c>
      <c r="K401" s="14" t="str">
        <f t="shared" si="27"/>
        <v>1 (0)</v>
      </c>
      <c r="L401" s="14" t="str">
        <f t="shared" si="28"/>
        <v>1.22 (0.14)</v>
      </c>
    </row>
    <row r="402" spans="1:12" x14ac:dyDescent="0.25">
      <c r="A402" t="s">
        <v>79</v>
      </c>
      <c r="B402" t="s">
        <v>80</v>
      </c>
      <c r="C402" t="s">
        <v>119</v>
      </c>
      <c r="D402">
        <v>1.2209357528332501</v>
      </c>
      <c r="E402">
        <v>0.14419880964905599</v>
      </c>
      <c r="I402" s="13" t="str">
        <f t="shared" si="29"/>
        <v>CGRPField CropsRd75</v>
      </c>
      <c r="J402" s="13">
        <f t="shared" si="30"/>
        <v>1.2209357528332501</v>
      </c>
      <c r="K402" s="14" t="str">
        <f t="shared" si="27"/>
        <v>1 (0)</v>
      </c>
      <c r="L402" s="14" t="str">
        <f t="shared" si="28"/>
        <v>1.22 (0.14)</v>
      </c>
    </row>
    <row r="403" spans="1:12" x14ac:dyDescent="0.25">
      <c r="A403" t="s">
        <v>79</v>
      </c>
      <c r="B403" t="s">
        <v>81</v>
      </c>
      <c r="C403" t="s">
        <v>119</v>
      </c>
      <c r="D403">
        <v>1.4478159194876501</v>
      </c>
      <c r="E403">
        <v>0.12826011348479399</v>
      </c>
      <c r="I403" s="13" t="str">
        <f t="shared" si="29"/>
        <v>CGRPNutsRd75</v>
      </c>
      <c r="J403" s="13">
        <f t="shared" si="30"/>
        <v>1.4478159194876501</v>
      </c>
      <c r="K403" s="14" t="str">
        <f t="shared" si="27"/>
        <v>1 (0)</v>
      </c>
      <c r="L403" s="14" t="str">
        <f t="shared" si="28"/>
        <v>1.45 (0.13)</v>
      </c>
    </row>
    <row r="404" spans="1:12" x14ac:dyDescent="0.25">
      <c r="A404" t="s">
        <v>79</v>
      </c>
      <c r="B404" t="s">
        <v>82</v>
      </c>
      <c r="C404" t="s">
        <v>119</v>
      </c>
      <c r="D404">
        <v>1.2067135410938801</v>
      </c>
      <c r="E404">
        <v>0.12427382329978701</v>
      </c>
      <c r="I404" s="13" t="str">
        <f t="shared" si="29"/>
        <v>CGRPForagesRd75</v>
      </c>
      <c r="J404" s="13">
        <f t="shared" si="30"/>
        <v>1.2067135410938801</v>
      </c>
      <c r="K404" s="14" t="str">
        <f t="shared" si="27"/>
        <v>1 (0)</v>
      </c>
      <c r="L404" s="14" t="str">
        <f t="shared" si="28"/>
        <v>1.21 (0.12)</v>
      </c>
    </row>
    <row r="405" spans="1:12" x14ac:dyDescent="0.25">
      <c r="A405" t="s">
        <v>79</v>
      </c>
      <c r="B405" t="s">
        <v>83</v>
      </c>
      <c r="C405" t="s">
        <v>119</v>
      </c>
      <c r="D405">
        <v>1.26788946308049</v>
      </c>
      <c r="E405">
        <v>0.194132758014605</v>
      </c>
      <c r="I405" s="13" t="str">
        <f t="shared" si="29"/>
        <v>CGRPFruitsRd75</v>
      </c>
      <c r="J405" s="13">
        <f t="shared" si="30"/>
        <v>1.26788946308049</v>
      </c>
      <c r="K405" s="14" t="str">
        <f t="shared" si="27"/>
        <v>1 (0)</v>
      </c>
      <c r="L405" s="14" t="str">
        <f t="shared" si="28"/>
        <v>1.27 (0.19)</v>
      </c>
    </row>
    <row r="406" spans="1:12" x14ac:dyDescent="0.25">
      <c r="A406" t="s">
        <v>79</v>
      </c>
      <c r="B406" t="s">
        <v>84</v>
      </c>
      <c r="C406" t="s">
        <v>119</v>
      </c>
      <c r="D406">
        <v>1.19834948679918</v>
      </c>
      <c r="E406">
        <v>0.14241440168994099</v>
      </c>
      <c r="I406" s="13" t="str">
        <f t="shared" si="29"/>
        <v>CGRPVegetablesRd75</v>
      </c>
      <c r="J406" s="13">
        <f t="shared" si="30"/>
        <v>1.19834948679918</v>
      </c>
      <c r="K406" s="14" t="str">
        <f t="shared" si="27"/>
        <v>1 (0)</v>
      </c>
      <c r="L406" s="14" t="str">
        <f t="shared" si="28"/>
        <v>1.20 (0.14)</v>
      </c>
    </row>
    <row r="407" spans="1:12" x14ac:dyDescent="0.25">
      <c r="A407" t="s">
        <v>85</v>
      </c>
      <c r="B407" t="s">
        <v>86</v>
      </c>
      <c r="C407" t="s">
        <v>119</v>
      </c>
      <c r="D407">
        <v>1.1836455734648801</v>
      </c>
      <c r="E407">
        <v>0.115619105005128</v>
      </c>
      <c r="I407" s="13" t="str">
        <f t="shared" si="29"/>
        <v>TOPCROPWHEATRd75</v>
      </c>
      <c r="J407" s="13">
        <f t="shared" si="30"/>
        <v>1.1836455734648801</v>
      </c>
      <c r="K407" s="14" t="str">
        <f t="shared" si="27"/>
        <v>1 (0)</v>
      </c>
      <c r="L407" s="14" t="str">
        <f t="shared" si="28"/>
        <v>1.18 (0.12)</v>
      </c>
    </row>
    <row r="408" spans="1:12" x14ac:dyDescent="0.25">
      <c r="A408" t="s">
        <v>85</v>
      </c>
      <c r="B408" t="s">
        <v>87</v>
      </c>
      <c r="C408" t="s">
        <v>119</v>
      </c>
      <c r="D408">
        <v>1.1695891864490799</v>
      </c>
      <c r="E408">
        <v>8.1088499897933902E-2</v>
      </c>
      <c r="I408" s="13" t="str">
        <f t="shared" si="29"/>
        <v>TOPCROPCANOLARd75</v>
      </c>
      <c r="J408" s="13">
        <f t="shared" si="30"/>
        <v>1.1695891864490799</v>
      </c>
      <c r="K408" s="14" t="str">
        <f t="shared" si="27"/>
        <v>1 (0)</v>
      </c>
      <c r="L408" s="14" t="str">
        <f t="shared" si="28"/>
        <v>1.17 (0.08)</v>
      </c>
    </row>
    <row r="409" spans="1:12" x14ac:dyDescent="0.25">
      <c r="A409" t="s">
        <v>85</v>
      </c>
      <c r="B409" t="s">
        <v>88</v>
      </c>
      <c r="C409" t="s">
        <v>119</v>
      </c>
      <c r="D409">
        <v>1.2281905684370999</v>
      </c>
      <c r="E409">
        <v>0.15997355608857</v>
      </c>
      <c r="I409" s="13" t="str">
        <f t="shared" si="29"/>
        <v>TOPCROPOTHERRd75</v>
      </c>
      <c r="J409" s="13">
        <f t="shared" si="30"/>
        <v>1.2281905684370999</v>
      </c>
      <c r="K409" s="14" t="str">
        <f t="shared" si="27"/>
        <v>1 (0)</v>
      </c>
      <c r="L409" s="14" t="str">
        <f t="shared" si="28"/>
        <v>1.23 (0.16)</v>
      </c>
    </row>
    <row r="410" spans="1:12" x14ac:dyDescent="0.25">
      <c r="A410" t="s">
        <v>85</v>
      </c>
      <c r="B410" t="s">
        <v>89</v>
      </c>
      <c r="C410" t="s">
        <v>119</v>
      </c>
      <c r="D410">
        <v>1.1944615822923901</v>
      </c>
      <c r="E410">
        <v>0.12058419047024201</v>
      </c>
      <c r="I410" s="13" t="str">
        <f t="shared" si="29"/>
        <v>TOPCROPRICERd75</v>
      </c>
      <c r="J410" s="13">
        <f t="shared" si="30"/>
        <v>1.1944615822923901</v>
      </c>
      <c r="K410" s="14" t="str">
        <f t="shared" si="27"/>
        <v>1 (0)</v>
      </c>
      <c r="L410" s="14" t="str">
        <f t="shared" si="28"/>
        <v>1.19 (0.12)</v>
      </c>
    </row>
    <row r="411" spans="1:12" x14ac:dyDescent="0.25">
      <c r="A411" t="s">
        <v>85</v>
      </c>
      <c r="B411" t="s">
        <v>90</v>
      </c>
      <c r="C411" t="s">
        <v>119</v>
      </c>
      <c r="D411">
        <v>1.16032179228715</v>
      </c>
      <c r="E411">
        <v>9.66765333386672E-2</v>
      </c>
      <c r="I411" s="13" t="str">
        <f t="shared" si="29"/>
        <v>TOPCROPCOTTONRd75</v>
      </c>
      <c r="J411" s="13">
        <f t="shared" si="30"/>
        <v>1.16032179228715</v>
      </c>
      <c r="K411" s="14" t="str">
        <f t="shared" si="27"/>
        <v>1 (0)</v>
      </c>
      <c r="L411" s="14" t="str">
        <f t="shared" si="28"/>
        <v>1.16 (0.10)</v>
      </c>
    </row>
    <row r="412" spans="1:12" x14ac:dyDescent="0.25">
      <c r="A412" t="s">
        <v>85</v>
      </c>
      <c r="B412" t="s">
        <v>91</v>
      </c>
      <c r="C412" t="s">
        <v>119</v>
      </c>
      <c r="D412">
        <v>1.2386590247206199</v>
      </c>
      <c r="E412">
        <v>0.14631456150545499</v>
      </c>
      <c r="I412" s="13" t="str">
        <f t="shared" si="29"/>
        <v>TOPCROPSUGAR BEETSRd75</v>
      </c>
      <c r="J412" s="13">
        <f t="shared" si="30"/>
        <v>1.2386590247206199</v>
      </c>
      <c r="K412" s="14" t="str">
        <f t="shared" si="27"/>
        <v>1 (0)</v>
      </c>
      <c r="L412" s="14" t="str">
        <f t="shared" si="28"/>
        <v>1.24 (0.15)</v>
      </c>
    </row>
    <row r="413" spans="1:12" x14ac:dyDescent="0.25">
      <c r="A413" t="s">
        <v>85</v>
      </c>
      <c r="B413" t="s">
        <v>92</v>
      </c>
      <c r="C413" t="s">
        <v>119</v>
      </c>
      <c r="D413">
        <v>1.2158982585900699</v>
      </c>
      <c r="E413">
        <v>0.12831374323396</v>
      </c>
      <c r="I413" s="13" t="str">
        <f t="shared" si="29"/>
        <v>TOPCROPCORNRd75</v>
      </c>
      <c r="J413" s="13">
        <f t="shared" si="30"/>
        <v>1.2158982585900699</v>
      </c>
      <c r="K413" s="14" t="str">
        <f t="shared" si="27"/>
        <v>1 (0)</v>
      </c>
      <c r="L413" s="14" t="str">
        <f t="shared" si="28"/>
        <v>1.22 (0.13)</v>
      </c>
    </row>
    <row r="414" spans="1:12" x14ac:dyDescent="0.25">
      <c r="A414" t="s">
        <v>85</v>
      </c>
      <c r="B414" t="s">
        <v>93</v>
      </c>
      <c r="C414" t="s">
        <v>119</v>
      </c>
      <c r="D414">
        <v>1.19985281069192</v>
      </c>
      <c r="E414">
        <v>0.15781623179136101</v>
      </c>
      <c r="I414" s="13" t="str">
        <f t="shared" si="29"/>
        <v>TOPCROPDRY BEANSRd75</v>
      </c>
      <c r="J414" s="13">
        <f t="shared" si="30"/>
        <v>1.19985281069192</v>
      </c>
      <c r="K414" s="14" t="str">
        <f t="shared" si="27"/>
        <v>1 (0)</v>
      </c>
      <c r="L414" s="14" t="str">
        <f t="shared" si="28"/>
        <v>1.20 (0.16)</v>
      </c>
    </row>
    <row r="415" spans="1:12" x14ac:dyDescent="0.25">
      <c r="A415" t="s">
        <v>85</v>
      </c>
      <c r="B415" t="s">
        <v>94</v>
      </c>
      <c r="C415" t="s">
        <v>119</v>
      </c>
      <c r="D415">
        <v>1.17144538532752</v>
      </c>
      <c r="E415">
        <v>0.108599733844903</v>
      </c>
      <c r="I415" s="13" t="str">
        <f t="shared" si="29"/>
        <v>TOPCROPSORGHUMRd75</v>
      </c>
      <c r="J415" s="13">
        <f t="shared" si="30"/>
        <v>1.17144538532752</v>
      </c>
      <c r="K415" s="14" t="str">
        <f t="shared" si="27"/>
        <v>1 (0)</v>
      </c>
      <c r="L415" s="14" t="str">
        <f t="shared" si="28"/>
        <v>1.17 (0.11)</v>
      </c>
    </row>
    <row r="416" spans="1:12" x14ac:dyDescent="0.25">
      <c r="A416" t="s">
        <v>85</v>
      </c>
      <c r="B416" t="s">
        <v>95</v>
      </c>
      <c r="C416" t="s">
        <v>119</v>
      </c>
      <c r="D416">
        <v>1.1742928318863699</v>
      </c>
      <c r="E416">
        <v>7.5333205717772203E-2</v>
      </c>
      <c r="I416" s="13" t="str">
        <f t="shared" si="29"/>
        <v>TOPCROPDRY PEASRd75</v>
      </c>
      <c r="J416" s="13">
        <f t="shared" si="30"/>
        <v>1.1742928318863699</v>
      </c>
      <c r="K416" s="14" t="str">
        <f t="shared" si="27"/>
        <v>1 (0)</v>
      </c>
      <c r="L416" s="14" t="str">
        <f t="shared" si="28"/>
        <v>1.17 (0.08)</v>
      </c>
    </row>
    <row r="417" spans="1:12" x14ac:dyDescent="0.25">
      <c r="A417" t="s">
        <v>85</v>
      </c>
      <c r="B417" t="s">
        <v>96</v>
      </c>
      <c r="C417" t="s">
        <v>119</v>
      </c>
      <c r="D417">
        <v>1.14222253583193</v>
      </c>
      <c r="E417">
        <v>7.9680536286642706E-2</v>
      </c>
      <c r="I417" s="13" t="str">
        <f t="shared" si="29"/>
        <v>TOPCROPSUNFLOWERSRd75</v>
      </c>
      <c r="J417" s="13">
        <f t="shared" si="30"/>
        <v>1.14222253583193</v>
      </c>
      <c r="K417" s="14" t="str">
        <f t="shared" si="27"/>
        <v>1 (0)</v>
      </c>
      <c r="L417" s="14" t="str">
        <f t="shared" si="28"/>
        <v>1.14 (0.08)</v>
      </c>
    </row>
    <row r="418" spans="1:12" x14ac:dyDescent="0.25">
      <c r="A418" t="s">
        <v>85</v>
      </c>
      <c r="B418" t="s">
        <v>97</v>
      </c>
      <c r="C418" t="s">
        <v>119</v>
      </c>
      <c r="D418">
        <v>1.3005174470088501</v>
      </c>
      <c r="E418">
        <v>0.17083919032814801</v>
      </c>
      <c r="I418" s="13" t="str">
        <f t="shared" si="29"/>
        <v>TOPCROPSOYBEANSRd75</v>
      </c>
      <c r="J418" s="13">
        <f t="shared" si="30"/>
        <v>1.3005174470088501</v>
      </c>
      <c r="K418" s="14" t="str">
        <f t="shared" si="27"/>
        <v>1 (0)</v>
      </c>
      <c r="L418" s="14" t="str">
        <f t="shared" si="28"/>
        <v>1.30 (0.17)</v>
      </c>
    </row>
    <row r="419" spans="1:12" x14ac:dyDescent="0.25">
      <c r="A419" t="s">
        <v>85</v>
      </c>
      <c r="B419" t="s">
        <v>98</v>
      </c>
      <c r="C419" t="s">
        <v>119</v>
      </c>
      <c r="D419">
        <v>1.1827519882542099</v>
      </c>
      <c r="E419">
        <v>8.9038212436564804E-2</v>
      </c>
      <c r="I419" s="13" t="str">
        <f t="shared" si="29"/>
        <v>TOPCROPBARLEYRd75</v>
      </c>
      <c r="J419" s="13">
        <f t="shared" si="30"/>
        <v>1.1827519882542099</v>
      </c>
      <c r="K419" s="14" t="str">
        <f t="shared" si="27"/>
        <v>1 (0)</v>
      </c>
      <c r="L419" s="14" t="str">
        <f t="shared" si="28"/>
        <v>1.18 (0.09)</v>
      </c>
    </row>
    <row r="420" spans="1:12" x14ac:dyDescent="0.25">
      <c r="A420" t="s">
        <v>77</v>
      </c>
      <c r="B420" t="s">
        <v>77</v>
      </c>
      <c r="C420" t="s">
        <v>120</v>
      </c>
      <c r="D420">
        <v>1.3815507198835699</v>
      </c>
      <c r="E420">
        <v>0.19894404196323401</v>
      </c>
      <c r="I420" s="13" t="str">
        <f t="shared" si="29"/>
        <v>FCIPFCIPRd80</v>
      </c>
      <c r="J420" s="13">
        <f t="shared" si="30"/>
        <v>1.3815507198835699</v>
      </c>
      <c r="K420" s="14" t="str">
        <f t="shared" si="27"/>
        <v>1 (0)</v>
      </c>
      <c r="L420" s="14" t="str">
        <f t="shared" si="28"/>
        <v>1.38 (0.20)</v>
      </c>
    </row>
    <row r="421" spans="1:12" x14ac:dyDescent="0.25">
      <c r="A421" t="s">
        <v>79</v>
      </c>
      <c r="B421" t="s">
        <v>80</v>
      </c>
      <c r="C421" t="s">
        <v>120</v>
      </c>
      <c r="D421">
        <v>1.3860709651212699</v>
      </c>
      <c r="E421">
        <v>0.197891424928305</v>
      </c>
      <c r="I421" s="13" t="str">
        <f t="shared" si="29"/>
        <v>CGRPField CropsRd80</v>
      </c>
      <c r="J421" s="13">
        <f t="shared" si="30"/>
        <v>1.3860709651212699</v>
      </c>
      <c r="K421" s="14" t="str">
        <f t="shared" si="27"/>
        <v>1 (0)</v>
      </c>
      <c r="L421" s="14" t="str">
        <f t="shared" si="28"/>
        <v>1.39 (0.20)</v>
      </c>
    </row>
    <row r="422" spans="1:12" x14ac:dyDescent="0.25">
      <c r="A422" t="s">
        <v>79</v>
      </c>
      <c r="B422" t="s">
        <v>81</v>
      </c>
      <c r="C422" t="s">
        <v>120</v>
      </c>
      <c r="D422">
        <v>1.70716053827799</v>
      </c>
      <c r="E422">
        <v>0.15748646462074101</v>
      </c>
      <c r="I422" s="13" t="str">
        <f t="shared" si="29"/>
        <v>CGRPNutsRd80</v>
      </c>
      <c r="J422" s="13">
        <f t="shared" si="30"/>
        <v>1.70716053827799</v>
      </c>
      <c r="K422" s="14" t="str">
        <f t="shared" si="27"/>
        <v>2 (0)</v>
      </c>
      <c r="L422" s="14" t="str">
        <f t="shared" si="28"/>
        <v>1.71 (0.16)</v>
      </c>
    </row>
    <row r="423" spans="1:12" x14ac:dyDescent="0.25">
      <c r="A423" t="s">
        <v>79</v>
      </c>
      <c r="B423" t="s">
        <v>82</v>
      </c>
      <c r="C423" t="s">
        <v>120</v>
      </c>
      <c r="D423">
        <v>1.30406111509963</v>
      </c>
      <c r="E423">
        <v>0.160494932605661</v>
      </c>
      <c r="I423" s="13" t="str">
        <f t="shared" si="29"/>
        <v>CGRPForagesRd80</v>
      </c>
      <c r="J423" s="13">
        <f t="shared" si="30"/>
        <v>1.30406111509963</v>
      </c>
      <c r="K423" s="14" t="str">
        <f t="shared" si="27"/>
        <v>1 (0)</v>
      </c>
      <c r="L423" s="14" t="str">
        <f t="shared" si="28"/>
        <v>1.30 (0.16)</v>
      </c>
    </row>
    <row r="424" spans="1:12" x14ac:dyDescent="0.25">
      <c r="A424" t="s">
        <v>79</v>
      </c>
      <c r="B424" t="s">
        <v>83</v>
      </c>
      <c r="C424" t="s">
        <v>120</v>
      </c>
      <c r="D424">
        <v>1.37287478405906</v>
      </c>
      <c r="E424">
        <v>0.29333423528770203</v>
      </c>
      <c r="I424" s="13" t="str">
        <f t="shared" si="29"/>
        <v>CGRPFruitsRd80</v>
      </c>
      <c r="J424" s="13">
        <f t="shared" si="30"/>
        <v>1.37287478405906</v>
      </c>
      <c r="K424" s="14" t="str">
        <f t="shared" si="27"/>
        <v>1 (0)</v>
      </c>
      <c r="L424" s="14" t="str">
        <f t="shared" si="28"/>
        <v>1.37 (0.29)</v>
      </c>
    </row>
    <row r="425" spans="1:12" x14ac:dyDescent="0.25">
      <c r="A425" t="s">
        <v>79</v>
      </c>
      <c r="B425" t="s">
        <v>84</v>
      </c>
      <c r="C425" t="s">
        <v>120</v>
      </c>
      <c r="D425">
        <v>1.32820523031343</v>
      </c>
      <c r="E425">
        <v>0.20563218569855199</v>
      </c>
      <c r="I425" s="13" t="str">
        <f t="shared" si="29"/>
        <v>CGRPVegetablesRd80</v>
      </c>
      <c r="J425" s="13">
        <f t="shared" si="30"/>
        <v>1.32820523031343</v>
      </c>
      <c r="K425" s="14" t="str">
        <f t="shared" si="27"/>
        <v>1 (0)</v>
      </c>
      <c r="L425" s="14" t="str">
        <f t="shared" si="28"/>
        <v>1.33 (0.21)</v>
      </c>
    </row>
    <row r="426" spans="1:12" x14ac:dyDescent="0.25">
      <c r="A426" t="s">
        <v>85</v>
      </c>
      <c r="B426" t="s">
        <v>86</v>
      </c>
      <c r="C426" t="s">
        <v>120</v>
      </c>
      <c r="D426">
        <v>1.3166989399969</v>
      </c>
      <c r="E426">
        <v>0.13908185149140101</v>
      </c>
      <c r="I426" s="13" t="str">
        <f t="shared" si="29"/>
        <v>TOPCROPWHEATRd80</v>
      </c>
      <c r="J426" s="13">
        <f t="shared" si="30"/>
        <v>1.3166989399969</v>
      </c>
      <c r="K426" s="14" t="str">
        <f t="shared" si="27"/>
        <v>1 (0)</v>
      </c>
      <c r="L426" s="14" t="str">
        <f t="shared" si="28"/>
        <v>1.32 (0.14)</v>
      </c>
    </row>
    <row r="427" spans="1:12" x14ac:dyDescent="0.25">
      <c r="A427" t="s">
        <v>85</v>
      </c>
      <c r="B427" t="s">
        <v>87</v>
      </c>
      <c r="C427" t="s">
        <v>120</v>
      </c>
      <c r="D427">
        <v>1.28493842686517</v>
      </c>
      <c r="E427">
        <v>8.7205497794588097E-2</v>
      </c>
      <c r="I427" s="13" t="str">
        <f t="shared" si="29"/>
        <v>TOPCROPCANOLARd80</v>
      </c>
      <c r="J427" s="13">
        <f t="shared" si="30"/>
        <v>1.28493842686517</v>
      </c>
      <c r="K427" s="14" t="str">
        <f t="shared" si="27"/>
        <v>1 (0)</v>
      </c>
      <c r="L427" s="14" t="str">
        <f t="shared" si="28"/>
        <v>1.28 (0.09)</v>
      </c>
    </row>
    <row r="428" spans="1:12" x14ac:dyDescent="0.25">
      <c r="A428" t="s">
        <v>85</v>
      </c>
      <c r="B428" t="s">
        <v>88</v>
      </c>
      <c r="C428" t="s">
        <v>120</v>
      </c>
      <c r="D428">
        <v>1.3670545955844</v>
      </c>
      <c r="E428">
        <v>0.24280779392360299</v>
      </c>
      <c r="I428" s="13" t="str">
        <f t="shared" si="29"/>
        <v>TOPCROPOTHERRd80</v>
      </c>
      <c r="J428" s="13">
        <f t="shared" si="30"/>
        <v>1.3670545955844</v>
      </c>
      <c r="K428" s="14" t="str">
        <f t="shared" si="27"/>
        <v>1 (0)</v>
      </c>
      <c r="L428" s="14" t="str">
        <f t="shared" si="28"/>
        <v>1.37 (0.24)</v>
      </c>
    </row>
    <row r="429" spans="1:12" x14ac:dyDescent="0.25">
      <c r="A429" t="s">
        <v>85</v>
      </c>
      <c r="B429" t="s">
        <v>89</v>
      </c>
      <c r="C429" t="s">
        <v>120</v>
      </c>
      <c r="D429">
        <v>1.34286308816285</v>
      </c>
      <c r="E429">
        <v>0.16515461399916401</v>
      </c>
      <c r="I429" s="13" t="str">
        <f t="shared" si="29"/>
        <v>TOPCROPRICERd80</v>
      </c>
      <c r="J429" s="13">
        <f t="shared" si="30"/>
        <v>1.34286308816285</v>
      </c>
      <c r="K429" s="14" t="str">
        <f t="shared" si="27"/>
        <v>1 (0)</v>
      </c>
      <c r="L429" s="14" t="str">
        <f t="shared" si="28"/>
        <v>1.34 (0.17)</v>
      </c>
    </row>
    <row r="430" spans="1:12" x14ac:dyDescent="0.25">
      <c r="A430" t="s">
        <v>85</v>
      </c>
      <c r="B430" t="s">
        <v>90</v>
      </c>
      <c r="C430" t="s">
        <v>120</v>
      </c>
      <c r="D430">
        <v>1.2892026420891001</v>
      </c>
      <c r="E430">
        <v>0.115772442564269</v>
      </c>
      <c r="I430" s="13" t="str">
        <f t="shared" si="29"/>
        <v>TOPCROPCOTTONRd80</v>
      </c>
      <c r="J430" s="13">
        <f t="shared" si="30"/>
        <v>1.2892026420891001</v>
      </c>
      <c r="K430" s="14" t="str">
        <f t="shared" si="27"/>
        <v>1 (0)</v>
      </c>
      <c r="L430" s="14" t="str">
        <f t="shared" si="28"/>
        <v>1.29 (0.12)</v>
      </c>
    </row>
    <row r="431" spans="1:12" x14ac:dyDescent="0.25">
      <c r="A431" t="s">
        <v>85</v>
      </c>
      <c r="B431" t="s">
        <v>91</v>
      </c>
      <c r="C431" t="s">
        <v>120</v>
      </c>
      <c r="D431">
        <v>1.4575650526314301</v>
      </c>
      <c r="E431">
        <v>0.199414068079517</v>
      </c>
      <c r="I431" s="13" t="str">
        <f t="shared" si="29"/>
        <v>TOPCROPSUGAR BEETSRd80</v>
      </c>
      <c r="J431" s="13">
        <f t="shared" si="30"/>
        <v>1.4575650526314301</v>
      </c>
      <c r="K431" s="14" t="str">
        <f t="shared" si="27"/>
        <v>1 (0)</v>
      </c>
      <c r="L431" s="14" t="str">
        <f t="shared" si="28"/>
        <v>1.46 (0.20)</v>
      </c>
    </row>
    <row r="432" spans="1:12" x14ac:dyDescent="0.25">
      <c r="A432" t="s">
        <v>85</v>
      </c>
      <c r="B432" t="s">
        <v>92</v>
      </c>
      <c r="C432" t="s">
        <v>120</v>
      </c>
      <c r="D432">
        <v>1.3738672010264601</v>
      </c>
      <c r="E432">
        <v>0.16114187559176901</v>
      </c>
      <c r="I432" s="13" t="str">
        <f t="shared" si="29"/>
        <v>TOPCROPCORNRd80</v>
      </c>
      <c r="J432" s="13">
        <f t="shared" si="30"/>
        <v>1.3738672010264601</v>
      </c>
      <c r="K432" s="14" t="str">
        <f t="shared" si="27"/>
        <v>1 (0)</v>
      </c>
      <c r="L432" s="14" t="str">
        <f t="shared" si="28"/>
        <v>1.37 (0.16)</v>
      </c>
    </row>
    <row r="433" spans="1:12" x14ac:dyDescent="0.25">
      <c r="A433" t="s">
        <v>85</v>
      </c>
      <c r="B433" t="s">
        <v>93</v>
      </c>
      <c r="C433" t="s">
        <v>120</v>
      </c>
      <c r="D433">
        <v>1.3441203199446701</v>
      </c>
      <c r="E433">
        <v>0.22394129450838601</v>
      </c>
      <c r="I433" s="13" t="str">
        <f t="shared" si="29"/>
        <v>TOPCROPDRY BEANSRd80</v>
      </c>
      <c r="J433" s="13">
        <f t="shared" si="30"/>
        <v>1.3441203199446701</v>
      </c>
      <c r="K433" s="14" t="str">
        <f t="shared" si="27"/>
        <v>1 (0)</v>
      </c>
      <c r="L433" s="14" t="str">
        <f t="shared" si="28"/>
        <v>1.34 (0.22)</v>
      </c>
    </row>
    <row r="434" spans="1:12" x14ac:dyDescent="0.25">
      <c r="A434" t="s">
        <v>85</v>
      </c>
      <c r="B434" t="s">
        <v>94</v>
      </c>
      <c r="C434" t="s">
        <v>120</v>
      </c>
      <c r="D434">
        <v>1.32822052987731</v>
      </c>
      <c r="E434">
        <v>0.11981389901999601</v>
      </c>
      <c r="I434" s="13" t="str">
        <f t="shared" si="29"/>
        <v>TOPCROPSORGHUMRd80</v>
      </c>
      <c r="J434" s="13">
        <f t="shared" si="30"/>
        <v>1.32822052987731</v>
      </c>
      <c r="K434" s="14" t="str">
        <f t="shared" si="27"/>
        <v>1 (0)</v>
      </c>
      <c r="L434" s="14" t="str">
        <f t="shared" si="28"/>
        <v>1.33 (0.12)</v>
      </c>
    </row>
    <row r="435" spans="1:12" x14ac:dyDescent="0.25">
      <c r="A435" t="s">
        <v>85</v>
      </c>
      <c r="B435" t="s">
        <v>95</v>
      </c>
      <c r="C435" t="s">
        <v>120</v>
      </c>
      <c r="D435">
        <v>1.2743463530372201</v>
      </c>
      <c r="E435">
        <v>0.108988160448362</v>
      </c>
      <c r="I435" s="13" t="str">
        <f t="shared" si="29"/>
        <v>TOPCROPDRY PEASRd80</v>
      </c>
      <c r="J435" s="13">
        <f t="shared" si="30"/>
        <v>1.2743463530372201</v>
      </c>
      <c r="K435" s="14" t="str">
        <f t="shared" si="27"/>
        <v>1 (0)</v>
      </c>
      <c r="L435" s="14" t="str">
        <f t="shared" si="28"/>
        <v>1.27 (0.11)</v>
      </c>
    </row>
    <row r="436" spans="1:12" x14ac:dyDescent="0.25">
      <c r="A436" t="s">
        <v>85</v>
      </c>
      <c r="B436" t="s">
        <v>96</v>
      </c>
      <c r="C436" t="s">
        <v>120</v>
      </c>
      <c r="D436">
        <v>1.2564162474023799</v>
      </c>
      <c r="E436">
        <v>6.5527505621798807E-2</v>
      </c>
      <c r="I436" s="13" t="str">
        <f t="shared" si="29"/>
        <v>TOPCROPSUNFLOWERSRd80</v>
      </c>
      <c r="J436" s="13">
        <f t="shared" si="30"/>
        <v>1.2564162474023799</v>
      </c>
      <c r="K436" s="14" t="str">
        <f t="shared" si="27"/>
        <v>1 (0)</v>
      </c>
      <c r="L436" s="14" t="str">
        <f t="shared" si="28"/>
        <v>1.26 (0.07)</v>
      </c>
    </row>
    <row r="437" spans="1:12" x14ac:dyDescent="0.25">
      <c r="A437" t="s">
        <v>85</v>
      </c>
      <c r="B437" t="s">
        <v>97</v>
      </c>
      <c r="C437" t="s">
        <v>120</v>
      </c>
      <c r="D437">
        <v>1.5284508690518299</v>
      </c>
      <c r="E437">
        <v>0.232175826280723</v>
      </c>
      <c r="I437" s="13" t="str">
        <f t="shared" si="29"/>
        <v>TOPCROPSOYBEANSRd80</v>
      </c>
      <c r="J437" s="13">
        <f t="shared" si="30"/>
        <v>1.5284508690518299</v>
      </c>
      <c r="K437" s="14" t="str">
        <f t="shared" si="27"/>
        <v>2 (0)</v>
      </c>
      <c r="L437" s="14" t="str">
        <f t="shared" si="28"/>
        <v>1.53 (0.23)</v>
      </c>
    </row>
    <row r="438" spans="1:12" x14ac:dyDescent="0.25">
      <c r="A438" t="s">
        <v>85</v>
      </c>
      <c r="B438" t="s">
        <v>98</v>
      </c>
      <c r="C438" t="s">
        <v>120</v>
      </c>
      <c r="D438">
        <v>1.3186551296879201</v>
      </c>
      <c r="E438">
        <v>9.5943113549829595E-2</v>
      </c>
      <c r="I438" s="13" t="str">
        <f t="shared" si="29"/>
        <v>TOPCROPBARLEYRd80</v>
      </c>
      <c r="J438" s="13">
        <f t="shared" si="30"/>
        <v>1.3186551296879201</v>
      </c>
      <c r="K438" s="14" t="str">
        <f t="shared" si="27"/>
        <v>1 (0)</v>
      </c>
      <c r="L438" s="14" t="str">
        <f t="shared" si="28"/>
        <v>1.32 (0.10)</v>
      </c>
    </row>
    <row r="439" spans="1:12" x14ac:dyDescent="0.25">
      <c r="A439" t="s">
        <v>77</v>
      </c>
      <c r="B439" t="s">
        <v>77</v>
      </c>
      <c r="C439" t="s">
        <v>121</v>
      </c>
      <c r="D439">
        <v>1.56196321689823</v>
      </c>
      <c r="E439">
        <v>0.28344569448700002</v>
      </c>
      <c r="I439" s="13" t="str">
        <f t="shared" si="29"/>
        <v>FCIPFCIPRd85</v>
      </c>
      <c r="J439" s="13">
        <f t="shared" si="30"/>
        <v>1.56196321689823</v>
      </c>
      <c r="K439" s="14" t="str">
        <f t="shared" si="27"/>
        <v>2 (0)</v>
      </c>
      <c r="L439" s="14" t="str">
        <f t="shared" si="28"/>
        <v>1.56 (0.28)</v>
      </c>
    </row>
    <row r="440" spans="1:12" x14ac:dyDescent="0.25">
      <c r="A440" t="s">
        <v>79</v>
      </c>
      <c r="B440" t="s">
        <v>80</v>
      </c>
      <c r="C440" t="s">
        <v>121</v>
      </c>
      <c r="D440">
        <v>1.5702564608315901</v>
      </c>
      <c r="E440">
        <v>0.280556183584455</v>
      </c>
      <c r="I440" s="13" t="str">
        <f t="shared" si="29"/>
        <v>CGRPField CropsRd85</v>
      </c>
      <c r="J440" s="13">
        <f t="shared" si="30"/>
        <v>1.5702564608315901</v>
      </c>
      <c r="K440" s="14" t="str">
        <f t="shared" si="27"/>
        <v>2 (0)</v>
      </c>
      <c r="L440" s="14" t="str">
        <f t="shared" si="28"/>
        <v>1.57 (0.28)</v>
      </c>
    </row>
    <row r="441" spans="1:12" x14ac:dyDescent="0.25">
      <c r="A441" t="s">
        <v>79</v>
      </c>
      <c r="B441" t="s">
        <v>81</v>
      </c>
      <c r="C441" t="s">
        <v>121</v>
      </c>
      <c r="D441">
        <v>2.00394314187781</v>
      </c>
      <c r="E441">
        <v>0.20648599579567001</v>
      </c>
      <c r="I441" s="13" t="str">
        <f t="shared" si="29"/>
        <v>CGRPNutsRd85</v>
      </c>
      <c r="J441" s="13">
        <f t="shared" si="30"/>
        <v>2.00394314187781</v>
      </c>
      <c r="K441" s="14" t="str">
        <f t="shared" si="27"/>
        <v>2 (0)</v>
      </c>
      <c r="L441" s="14" t="str">
        <f t="shared" si="28"/>
        <v>2.00 (0.21)</v>
      </c>
    </row>
    <row r="442" spans="1:12" x14ac:dyDescent="0.25">
      <c r="A442" t="s">
        <v>79</v>
      </c>
      <c r="B442" t="s">
        <v>82</v>
      </c>
      <c r="C442" t="s">
        <v>121</v>
      </c>
      <c r="D442">
        <v>1.40763173810705</v>
      </c>
      <c r="E442">
        <v>0.23519569927856701</v>
      </c>
      <c r="I442" s="13" t="str">
        <f t="shared" si="29"/>
        <v>CGRPForagesRd85</v>
      </c>
      <c r="J442" s="13">
        <f t="shared" si="30"/>
        <v>1.40763173810705</v>
      </c>
      <c r="K442" s="14" t="str">
        <f t="shared" si="27"/>
        <v>1 (0)</v>
      </c>
      <c r="L442" s="14" t="str">
        <f t="shared" si="28"/>
        <v>1.41 (0.24)</v>
      </c>
    </row>
    <row r="443" spans="1:12" x14ac:dyDescent="0.25">
      <c r="A443" t="s">
        <v>79</v>
      </c>
      <c r="B443" t="s">
        <v>83</v>
      </c>
      <c r="C443" t="s">
        <v>121</v>
      </c>
      <c r="D443">
        <v>1.4963413814366</v>
      </c>
      <c r="E443">
        <v>0.414115160809156</v>
      </c>
      <c r="I443" s="13" t="str">
        <f t="shared" si="29"/>
        <v>CGRPFruitsRd85</v>
      </c>
      <c r="J443" s="13">
        <f t="shared" si="30"/>
        <v>1.4963413814366</v>
      </c>
      <c r="K443" s="14" t="str">
        <f t="shared" si="27"/>
        <v>1 (0)</v>
      </c>
      <c r="L443" s="14" t="str">
        <f t="shared" si="28"/>
        <v>1.50 (0.41)</v>
      </c>
    </row>
    <row r="444" spans="1:12" x14ac:dyDescent="0.25">
      <c r="A444" t="s">
        <v>79</v>
      </c>
      <c r="B444" t="s">
        <v>84</v>
      </c>
      <c r="C444" t="s">
        <v>121</v>
      </c>
      <c r="D444">
        <v>1.4767381548120899</v>
      </c>
      <c r="E444">
        <v>0.30289556097384202</v>
      </c>
      <c r="I444" s="13" t="str">
        <f t="shared" si="29"/>
        <v>CGRPVegetablesRd85</v>
      </c>
      <c r="J444" s="13">
        <f t="shared" si="30"/>
        <v>1.4767381548120899</v>
      </c>
      <c r="K444" s="14" t="str">
        <f t="shared" si="27"/>
        <v>1 (0)</v>
      </c>
      <c r="L444" s="14" t="str">
        <f t="shared" si="28"/>
        <v>1.48 (0.30)</v>
      </c>
    </row>
    <row r="445" spans="1:12" x14ac:dyDescent="0.25">
      <c r="A445" t="s">
        <v>85</v>
      </c>
      <c r="B445" t="s">
        <v>86</v>
      </c>
      <c r="C445" t="s">
        <v>121</v>
      </c>
      <c r="D445">
        <v>1.4619137758910601</v>
      </c>
      <c r="E445">
        <v>0.19445284741869401</v>
      </c>
      <c r="I445" s="13" t="str">
        <f t="shared" si="29"/>
        <v>TOPCROPWHEATRd85</v>
      </c>
      <c r="J445" s="13">
        <f t="shared" si="30"/>
        <v>1.4619137758910601</v>
      </c>
      <c r="K445" s="14" t="str">
        <f t="shared" si="27"/>
        <v>1 (0)</v>
      </c>
      <c r="L445" s="14" t="str">
        <f t="shared" si="28"/>
        <v>1.46 (0.19)</v>
      </c>
    </row>
    <row r="446" spans="1:12" x14ac:dyDescent="0.25">
      <c r="A446" t="s">
        <v>85</v>
      </c>
      <c r="B446" t="s">
        <v>87</v>
      </c>
      <c r="C446" t="s">
        <v>121</v>
      </c>
      <c r="D446">
        <v>1.4042863562405099</v>
      </c>
      <c r="E446">
        <v>0.11848754610312</v>
      </c>
      <c r="I446" s="13" t="str">
        <f t="shared" si="29"/>
        <v>TOPCROPCANOLARd85</v>
      </c>
      <c r="J446" s="13">
        <f t="shared" si="30"/>
        <v>1.4042863562405099</v>
      </c>
      <c r="K446" s="14" t="str">
        <f t="shared" si="27"/>
        <v>1 (0)</v>
      </c>
      <c r="L446" s="14" t="str">
        <f t="shared" si="28"/>
        <v>1.40 (0.12)</v>
      </c>
    </row>
    <row r="447" spans="1:12" x14ac:dyDescent="0.25">
      <c r="A447" t="s">
        <v>85</v>
      </c>
      <c r="B447" t="s">
        <v>88</v>
      </c>
      <c r="C447" t="s">
        <v>121</v>
      </c>
      <c r="D447">
        <v>1.52451465922874</v>
      </c>
      <c r="E447">
        <v>0.36438125399094501</v>
      </c>
      <c r="I447" s="13" t="str">
        <f t="shared" si="29"/>
        <v>TOPCROPOTHERRd85</v>
      </c>
      <c r="J447" s="13">
        <f t="shared" si="30"/>
        <v>1.52451465922874</v>
      </c>
      <c r="K447" s="14" t="str">
        <f t="shared" si="27"/>
        <v>2 (0)</v>
      </c>
      <c r="L447" s="14" t="str">
        <f t="shared" si="28"/>
        <v>1.52 (0.36)</v>
      </c>
    </row>
    <row r="448" spans="1:12" x14ac:dyDescent="0.25">
      <c r="A448" t="s">
        <v>85</v>
      </c>
      <c r="B448" t="s">
        <v>89</v>
      </c>
      <c r="C448" t="s">
        <v>121</v>
      </c>
      <c r="D448">
        <v>1.5155324184172601</v>
      </c>
      <c r="E448">
        <v>0.23811383999771399</v>
      </c>
      <c r="I448" s="13" t="str">
        <f t="shared" si="29"/>
        <v>TOPCROPRICERd85</v>
      </c>
      <c r="J448" s="13">
        <f t="shared" si="30"/>
        <v>1.5155324184172601</v>
      </c>
      <c r="K448" s="14" t="str">
        <f t="shared" si="27"/>
        <v>2 (0)</v>
      </c>
      <c r="L448" s="14" t="str">
        <f t="shared" si="28"/>
        <v>1.52 (0.24)</v>
      </c>
    </row>
    <row r="449" spans="1:12" x14ac:dyDescent="0.25">
      <c r="A449" t="s">
        <v>85</v>
      </c>
      <c r="B449" t="s">
        <v>90</v>
      </c>
      <c r="C449" t="s">
        <v>121</v>
      </c>
      <c r="D449">
        <v>1.43516029106453</v>
      </c>
      <c r="E449">
        <v>0.180142600601333</v>
      </c>
      <c r="I449" s="13" t="str">
        <f t="shared" si="29"/>
        <v>TOPCROPCOTTONRd85</v>
      </c>
      <c r="J449" s="13">
        <f t="shared" si="30"/>
        <v>1.43516029106453</v>
      </c>
      <c r="K449" s="14" t="str">
        <f t="shared" si="27"/>
        <v>1 (0)</v>
      </c>
      <c r="L449" s="14" t="str">
        <f t="shared" si="28"/>
        <v>1.44 (0.18)</v>
      </c>
    </row>
    <row r="450" spans="1:12" x14ac:dyDescent="0.25">
      <c r="A450" t="s">
        <v>85</v>
      </c>
      <c r="B450" t="s">
        <v>91</v>
      </c>
      <c r="C450" t="s">
        <v>121</v>
      </c>
      <c r="D450">
        <v>1.7108201879824101</v>
      </c>
      <c r="E450">
        <v>0.29434143779806099</v>
      </c>
      <c r="I450" s="13" t="str">
        <f t="shared" si="29"/>
        <v>TOPCROPSUGAR BEETSRd85</v>
      </c>
      <c r="J450" s="13">
        <f t="shared" si="30"/>
        <v>1.7108201879824101</v>
      </c>
      <c r="K450" s="14" t="str">
        <f t="shared" si="27"/>
        <v>2 (0)</v>
      </c>
      <c r="L450" s="14" t="str">
        <f t="shared" si="28"/>
        <v>1.71 (0.29)</v>
      </c>
    </row>
    <row r="451" spans="1:12" x14ac:dyDescent="0.25">
      <c r="A451" t="s">
        <v>85</v>
      </c>
      <c r="B451" t="s">
        <v>92</v>
      </c>
      <c r="C451" t="s">
        <v>121</v>
      </c>
      <c r="D451">
        <v>1.5496214909563899</v>
      </c>
      <c r="E451">
        <v>0.217362322319299</v>
      </c>
      <c r="I451" s="13" t="str">
        <f t="shared" si="29"/>
        <v>TOPCROPCORNRd85</v>
      </c>
      <c r="J451" s="13">
        <f t="shared" si="30"/>
        <v>1.5496214909563899</v>
      </c>
      <c r="K451" s="14" t="str">
        <f t="shared" ref="K451:K514" si="31">TEXT(D451,"0")&amp;" ("&amp;TEXT(E451,"0")&amp;")"</f>
        <v>2 (0)</v>
      </c>
      <c r="L451" s="14" t="str">
        <f t="shared" ref="L451:L514" si="32">TEXT(D451,"0.00")&amp;" ("&amp;TEXT(E451,"0.00")&amp;")"</f>
        <v>1.55 (0.22)</v>
      </c>
    </row>
    <row r="452" spans="1:12" x14ac:dyDescent="0.25">
      <c r="A452" t="s">
        <v>85</v>
      </c>
      <c r="B452" t="s">
        <v>93</v>
      </c>
      <c r="C452" t="s">
        <v>121</v>
      </c>
      <c r="D452">
        <v>1.51033805883071</v>
      </c>
      <c r="E452">
        <v>0.32295416117418801</v>
      </c>
      <c r="I452" s="13" t="str">
        <f t="shared" ref="I452:I515" si="33">_xlfn.CONCAT(A452:C452)</f>
        <v>TOPCROPDRY BEANSRd85</v>
      </c>
      <c r="J452" s="13">
        <f t="shared" ref="J452:J515" si="34">D452</f>
        <v>1.51033805883071</v>
      </c>
      <c r="K452" s="14" t="str">
        <f t="shared" si="31"/>
        <v>2 (0)</v>
      </c>
      <c r="L452" s="14" t="str">
        <f t="shared" si="32"/>
        <v>1.51 (0.32)</v>
      </c>
    </row>
    <row r="453" spans="1:12" x14ac:dyDescent="0.25">
      <c r="A453" t="s">
        <v>85</v>
      </c>
      <c r="B453" t="s">
        <v>94</v>
      </c>
      <c r="C453" t="s">
        <v>121</v>
      </c>
      <c r="D453">
        <v>1.49888956954774</v>
      </c>
      <c r="E453">
        <v>0.17479463910948301</v>
      </c>
      <c r="I453" s="13" t="str">
        <f t="shared" si="33"/>
        <v>TOPCROPSORGHUMRd85</v>
      </c>
      <c r="J453" s="13">
        <f t="shared" si="34"/>
        <v>1.49888956954774</v>
      </c>
      <c r="K453" s="14" t="str">
        <f t="shared" si="31"/>
        <v>1 (0)</v>
      </c>
      <c r="L453" s="14" t="str">
        <f t="shared" si="32"/>
        <v>1.50 (0.17)</v>
      </c>
    </row>
    <row r="454" spans="1:12" x14ac:dyDescent="0.25">
      <c r="A454" t="s">
        <v>85</v>
      </c>
      <c r="B454" t="s">
        <v>95</v>
      </c>
      <c r="C454" t="s">
        <v>121</v>
      </c>
      <c r="D454">
        <v>1.38130486226051</v>
      </c>
      <c r="E454">
        <v>0.14915235998500401</v>
      </c>
      <c r="I454" s="13" t="str">
        <f t="shared" si="33"/>
        <v>TOPCROPDRY PEASRd85</v>
      </c>
      <c r="J454" s="13">
        <f t="shared" si="34"/>
        <v>1.38130486226051</v>
      </c>
      <c r="K454" s="14" t="str">
        <f t="shared" si="31"/>
        <v>1 (0)</v>
      </c>
      <c r="L454" s="14" t="str">
        <f t="shared" si="32"/>
        <v>1.38 (0.15)</v>
      </c>
    </row>
    <row r="455" spans="1:12" x14ac:dyDescent="0.25">
      <c r="A455" t="s">
        <v>85</v>
      </c>
      <c r="B455" t="s">
        <v>96</v>
      </c>
      <c r="C455" t="s">
        <v>121</v>
      </c>
      <c r="D455">
        <v>1.38404563592332</v>
      </c>
      <c r="E455">
        <v>9.8969957512318199E-2</v>
      </c>
      <c r="I455" s="13" t="str">
        <f t="shared" si="33"/>
        <v>TOPCROPSUNFLOWERSRd85</v>
      </c>
      <c r="J455" s="13">
        <f t="shared" si="34"/>
        <v>1.38404563592332</v>
      </c>
      <c r="K455" s="14" t="str">
        <f t="shared" si="31"/>
        <v>1 (0)</v>
      </c>
      <c r="L455" s="14" t="str">
        <f t="shared" si="32"/>
        <v>1.38 (0.10)</v>
      </c>
    </row>
    <row r="456" spans="1:12" x14ac:dyDescent="0.25">
      <c r="A456" t="s">
        <v>85</v>
      </c>
      <c r="B456" t="s">
        <v>97</v>
      </c>
      <c r="C456" t="s">
        <v>121</v>
      </c>
      <c r="D456">
        <v>1.7853328972167199</v>
      </c>
      <c r="E456">
        <v>0.31528683968042998</v>
      </c>
      <c r="I456" s="13" t="str">
        <f t="shared" si="33"/>
        <v>TOPCROPSOYBEANSRd85</v>
      </c>
      <c r="J456" s="13">
        <f t="shared" si="34"/>
        <v>1.7853328972167199</v>
      </c>
      <c r="K456" s="14" t="str">
        <f t="shared" si="31"/>
        <v>2 (0)</v>
      </c>
      <c r="L456" s="14" t="str">
        <f t="shared" si="32"/>
        <v>1.79 (0.32)</v>
      </c>
    </row>
    <row r="457" spans="1:12" x14ac:dyDescent="0.25">
      <c r="A457" t="s">
        <v>85</v>
      </c>
      <c r="B457" t="s">
        <v>98</v>
      </c>
      <c r="C457" t="s">
        <v>121</v>
      </c>
      <c r="D457">
        <v>1.4687070159473199</v>
      </c>
      <c r="E457">
        <v>0.143362384021718</v>
      </c>
      <c r="I457" s="13" t="str">
        <f t="shared" si="33"/>
        <v>TOPCROPBARLEYRd85</v>
      </c>
      <c r="J457" s="13">
        <f t="shared" si="34"/>
        <v>1.4687070159473199</v>
      </c>
      <c r="K457" s="14" t="str">
        <f t="shared" si="31"/>
        <v>1 (0)</v>
      </c>
      <c r="L457" s="14" t="str">
        <f t="shared" si="32"/>
        <v>1.47 (0.14)</v>
      </c>
    </row>
    <row r="458" spans="1:12" x14ac:dyDescent="0.25">
      <c r="A458" t="s">
        <v>77</v>
      </c>
      <c r="B458" t="s">
        <v>77</v>
      </c>
      <c r="C458" t="s">
        <v>122</v>
      </c>
      <c r="D458">
        <v>1.0072549112901601</v>
      </c>
      <c r="E458">
        <v>3.4597366653156603E-2</v>
      </c>
      <c r="I458" s="13" t="str">
        <f t="shared" si="33"/>
        <v>FCIPFCIPFu_EU</v>
      </c>
      <c r="J458" s="13">
        <f t="shared" si="34"/>
        <v>1.0072549112901601</v>
      </c>
      <c r="K458" s="14" t="str">
        <f t="shared" si="31"/>
        <v>1 (0)</v>
      </c>
      <c r="L458" s="14" t="str">
        <f t="shared" si="32"/>
        <v>1.01 (0.03)</v>
      </c>
    </row>
    <row r="459" spans="1:12" x14ac:dyDescent="0.25">
      <c r="A459" t="s">
        <v>79</v>
      </c>
      <c r="B459" t="s">
        <v>80</v>
      </c>
      <c r="C459" t="s">
        <v>122</v>
      </c>
      <c r="D459">
        <v>1.0067779729580899</v>
      </c>
      <c r="E459">
        <v>3.5190219412611301E-2</v>
      </c>
      <c r="I459" s="13" t="str">
        <f t="shared" si="33"/>
        <v>CGRPField CropsFu_EU</v>
      </c>
      <c r="J459" s="13">
        <f t="shared" si="34"/>
        <v>1.0067779729580899</v>
      </c>
      <c r="K459" s="14" t="str">
        <f t="shared" si="31"/>
        <v>1 (0)</v>
      </c>
      <c r="L459" s="14" t="str">
        <f t="shared" si="32"/>
        <v>1.01 (0.04)</v>
      </c>
    </row>
    <row r="460" spans="1:12" x14ac:dyDescent="0.25">
      <c r="A460" t="s">
        <v>79</v>
      </c>
      <c r="B460" t="s">
        <v>81</v>
      </c>
      <c r="C460" t="s">
        <v>122</v>
      </c>
      <c r="D460">
        <v>1.0027666666666699</v>
      </c>
      <c r="E460">
        <v>5.5507064791690897E-3</v>
      </c>
      <c r="I460" s="13" t="str">
        <f t="shared" si="33"/>
        <v>CGRPNutsFu_EU</v>
      </c>
      <c r="J460" s="13">
        <f t="shared" si="34"/>
        <v>1.0027666666666699</v>
      </c>
      <c r="K460" s="14" t="str">
        <f t="shared" si="31"/>
        <v>1 (0)</v>
      </c>
      <c r="L460" s="14" t="str">
        <f t="shared" si="32"/>
        <v>1.00 (0.01)</v>
      </c>
    </row>
    <row r="461" spans="1:12" x14ac:dyDescent="0.25">
      <c r="A461" t="s">
        <v>79</v>
      </c>
      <c r="B461" t="s">
        <v>82</v>
      </c>
      <c r="C461" t="s">
        <v>122</v>
      </c>
      <c r="D461">
        <v>1.00992419308149</v>
      </c>
      <c r="E461">
        <v>1.40084756955922E-2</v>
      </c>
      <c r="I461" s="13" t="str">
        <f t="shared" si="33"/>
        <v>CGRPForagesFu_EU</v>
      </c>
      <c r="J461" s="13">
        <f t="shared" si="34"/>
        <v>1.00992419308149</v>
      </c>
      <c r="K461" s="14" t="str">
        <f t="shared" si="31"/>
        <v>1 (0)</v>
      </c>
      <c r="L461" s="14" t="str">
        <f t="shared" si="32"/>
        <v>1.01 (0.01)</v>
      </c>
    </row>
    <row r="462" spans="1:12" x14ac:dyDescent="0.25">
      <c r="A462" t="s">
        <v>79</v>
      </c>
      <c r="B462" t="s">
        <v>83</v>
      </c>
      <c r="C462" t="s">
        <v>122</v>
      </c>
      <c r="D462">
        <v>1.0025328638497699</v>
      </c>
      <c r="E462">
        <v>5.3689428618078098E-3</v>
      </c>
      <c r="I462" s="13" t="str">
        <f t="shared" si="33"/>
        <v>CGRPFruitsFu_EU</v>
      </c>
      <c r="J462" s="13">
        <f t="shared" si="34"/>
        <v>1.0025328638497699</v>
      </c>
      <c r="K462" s="14" t="str">
        <f t="shared" si="31"/>
        <v>1 (0)</v>
      </c>
      <c r="L462" s="14" t="str">
        <f t="shared" si="32"/>
        <v>1.00 (0.01)</v>
      </c>
    </row>
    <row r="463" spans="1:12" x14ac:dyDescent="0.25">
      <c r="A463" t="s">
        <v>79</v>
      </c>
      <c r="B463" t="s">
        <v>84</v>
      </c>
      <c r="C463" t="s">
        <v>122</v>
      </c>
      <c r="D463">
        <v>1.0189601552212699</v>
      </c>
      <c r="E463">
        <v>1.37264544326675E-2</v>
      </c>
      <c r="I463" s="13" t="str">
        <f t="shared" si="33"/>
        <v>CGRPVegetablesFu_EU</v>
      </c>
      <c r="J463" s="13">
        <f t="shared" si="34"/>
        <v>1.0189601552212699</v>
      </c>
      <c r="K463" s="14" t="str">
        <f t="shared" si="31"/>
        <v>1 (0)</v>
      </c>
      <c r="L463" s="14" t="str">
        <f t="shared" si="32"/>
        <v>1.02 (0.01)</v>
      </c>
    </row>
    <row r="464" spans="1:12" x14ac:dyDescent="0.25">
      <c r="A464" t="s">
        <v>85</v>
      </c>
      <c r="B464" t="s">
        <v>86</v>
      </c>
      <c r="C464" t="s">
        <v>122</v>
      </c>
      <c r="D464">
        <v>1.02109507758846</v>
      </c>
      <c r="E464">
        <v>1.17778125616405E-2</v>
      </c>
      <c r="I464" s="13" t="str">
        <f t="shared" si="33"/>
        <v>TOPCROPWHEATFu_EU</v>
      </c>
      <c r="J464" s="13">
        <f t="shared" si="34"/>
        <v>1.02109507758846</v>
      </c>
      <c r="K464" s="14" t="str">
        <f t="shared" si="31"/>
        <v>1 (0)</v>
      </c>
      <c r="L464" s="14" t="str">
        <f t="shared" si="32"/>
        <v>1.02 (0.01)</v>
      </c>
    </row>
    <row r="465" spans="1:12" x14ac:dyDescent="0.25">
      <c r="A465" t="s">
        <v>85</v>
      </c>
      <c r="B465" t="s">
        <v>87</v>
      </c>
      <c r="C465" t="s">
        <v>122</v>
      </c>
      <c r="D465">
        <v>1.0289987856765599</v>
      </c>
      <c r="E465">
        <v>1.429585261059E-2</v>
      </c>
      <c r="I465" s="13" t="str">
        <f t="shared" si="33"/>
        <v>TOPCROPCANOLAFu_EU</v>
      </c>
      <c r="J465" s="13">
        <f t="shared" si="34"/>
        <v>1.0289987856765599</v>
      </c>
      <c r="K465" s="14" t="str">
        <f t="shared" si="31"/>
        <v>1 (0)</v>
      </c>
      <c r="L465" s="14" t="str">
        <f t="shared" si="32"/>
        <v>1.03 (0.01)</v>
      </c>
    </row>
    <row r="466" spans="1:12" x14ac:dyDescent="0.25">
      <c r="A466" t="s">
        <v>85</v>
      </c>
      <c r="B466" t="s">
        <v>88</v>
      </c>
      <c r="C466" t="s">
        <v>122</v>
      </c>
      <c r="D466">
        <v>1.01486212577438</v>
      </c>
      <c r="E466">
        <v>1.6828660205557001E-2</v>
      </c>
      <c r="I466" s="13" t="str">
        <f t="shared" si="33"/>
        <v>TOPCROPOTHERFu_EU</v>
      </c>
      <c r="J466" s="13">
        <f t="shared" si="34"/>
        <v>1.01486212577438</v>
      </c>
      <c r="K466" s="14" t="str">
        <f t="shared" si="31"/>
        <v>1 (0)</v>
      </c>
      <c r="L466" s="14" t="str">
        <f t="shared" si="32"/>
        <v>1.01 (0.02)</v>
      </c>
    </row>
    <row r="467" spans="1:12" x14ac:dyDescent="0.25">
      <c r="A467" t="s">
        <v>85</v>
      </c>
      <c r="B467" t="s">
        <v>89</v>
      </c>
      <c r="C467" t="s">
        <v>122</v>
      </c>
      <c r="D467">
        <v>1.0184240585144499</v>
      </c>
      <c r="E467">
        <v>1.1942781713060799E-2</v>
      </c>
      <c r="I467" s="13" t="str">
        <f t="shared" si="33"/>
        <v>TOPCROPRICEFu_EU</v>
      </c>
      <c r="J467" s="13">
        <f t="shared" si="34"/>
        <v>1.0184240585144499</v>
      </c>
      <c r="K467" s="14" t="str">
        <f t="shared" si="31"/>
        <v>1 (0)</v>
      </c>
      <c r="L467" s="14" t="str">
        <f t="shared" si="32"/>
        <v>1.02 (0.01)</v>
      </c>
    </row>
    <row r="468" spans="1:12" x14ac:dyDescent="0.25">
      <c r="A468" t="s">
        <v>85</v>
      </c>
      <c r="B468" t="s">
        <v>90</v>
      </c>
      <c r="C468" t="s">
        <v>122</v>
      </c>
      <c r="D468">
        <v>1.02553047351853</v>
      </c>
      <c r="E468">
        <v>1.1295340952873901E-2</v>
      </c>
      <c r="I468" s="13" t="str">
        <f t="shared" si="33"/>
        <v>TOPCROPCOTTONFu_EU</v>
      </c>
      <c r="J468" s="13">
        <f t="shared" si="34"/>
        <v>1.02553047351853</v>
      </c>
      <c r="K468" s="14" t="str">
        <f t="shared" si="31"/>
        <v>1 (0)</v>
      </c>
      <c r="L468" s="14" t="str">
        <f t="shared" si="32"/>
        <v>1.03 (0.01)</v>
      </c>
    </row>
    <row r="469" spans="1:12" x14ac:dyDescent="0.25">
      <c r="A469" t="s">
        <v>85</v>
      </c>
      <c r="B469" t="s">
        <v>91</v>
      </c>
      <c r="C469" t="s">
        <v>122</v>
      </c>
      <c r="D469">
        <v>1.00601629273504</v>
      </c>
      <c r="E469">
        <v>1.2794876257862801E-2</v>
      </c>
      <c r="I469" s="13" t="str">
        <f t="shared" si="33"/>
        <v>TOPCROPSUGAR BEETSFu_EU</v>
      </c>
      <c r="J469" s="13">
        <f t="shared" si="34"/>
        <v>1.00601629273504</v>
      </c>
      <c r="K469" s="14" t="str">
        <f t="shared" si="31"/>
        <v>1 (0)</v>
      </c>
      <c r="L469" s="14" t="str">
        <f t="shared" si="32"/>
        <v>1.01 (0.01)</v>
      </c>
    </row>
    <row r="470" spans="1:12" x14ac:dyDescent="0.25">
      <c r="A470" t="s">
        <v>85</v>
      </c>
      <c r="B470" t="s">
        <v>92</v>
      </c>
      <c r="C470" t="s">
        <v>122</v>
      </c>
      <c r="D470">
        <v>0.996007863979125</v>
      </c>
      <c r="E470">
        <v>4.4199762984909699E-2</v>
      </c>
      <c r="I470" s="13" t="str">
        <f t="shared" si="33"/>
        <v>TOPCROPCORNFu_EU</v>
      </c>
      <c r="J470" s="13">
        <f t="shared" si="34"/>
        <v>0.996007863979125</v>
      </c>
      <c r="K470" s="14" t="str">
        <f t="shared" si="31"/>
        <v>1 (0)</v>
      </c>
      <c r="L470" s="14" t="str">
        <f t="shared" si="32"/>
        <v>1.00 (0.04)</v>
      </c>
    </row>
    <row r="471" spans="1:12" x14ac:dyDescent="0.25">
      <c r="A471" t="s">
        <v>85</v>
      </c>
      <c r="B471" t="s">
        <v>93</v>
      </c>
      <c r="C471" t="s">
        <v>122</v>
      </c>
      <c r="D471">
        <v>1.01761402117447</v>
      </c>
      <c r="E471">
        <v>1.3518533187934501E-2</v>
      </c>
      <c r="I471" s="13" t="str">
        <f t="shared" si="33"/>
        <v>TOPCROPDRY BEANSFu_EU</v>
      </c>
      <c r="J471" s="13">
        <f t="shared" si="34"/>
        <v>1.01761402117447</v>
      </c>
      <c r="K471" s="14" t="str">
        <f t="shared" si="31"/>
        <v>1 (0)</v>
      </c>
      <c r="L471" s="14" t="str">
        <f t="shared" si="32"/>
        <v>1.02 (0.01)</v>
      </c>
    </row>
    <row r="472" spans="1:12" x14ac:dyDescent="0.25">
      <c r="A472" t="s">
        <v>85</v>
      </c>
      <c r="B472" t="s">
        <v>94</v>
      </c>
      <c r="C472" t="s">
        <v>122</v>
      </c>
      <c r="D472">
        <v>1.0130160749724899</v>
      </c>
      <c r="E472">
        <v>1.1500660295655499E-2</v>
      </c>
      <c r="I472" s="13" t="str">
        <f t="shared" si="33"/>
        <v>TOPCROPSORGHUMFu_EU</v>
      </c>
      <c r="J472" s="13">
        <f t="shared" si="34"/>
        <v>1.0130160749724899</v>
      </c>
      <c r="K472" s="14" t="str">
        <f t="shared" si="31"/>
        <v>1 (0)</v>
      </c>
      <c r="L472" s="14" t="str">
        <f t="shared" si="32"/>
        <v>1.01 (0.01)</v>
      </c>
    </row>
    <row r="473" spans="1:12" x14ac:dyDescent="0.25">
      <c r="A473" t="s">
        <v>85</v>
      </c>
      <c r="B473" t="s">
        <v>95</v>
      </c>
      <c r="C473" t="s">
        <v>122</v>
      </c>
      <c r="D473">
        <v>1.02588489714594</v>
      </c>
      <c r="E473">
        <v>1.0542650189808701E-2</v>
      </c>
      <c r="I473" s="13" t="str">
        <f t="shared" si="33"/>
        <v>TOPCROPDRY PEASFu_EU</v>
      </c>
      <c r="J473" s="13">
        <f t="shared" si="34"/>
        <v>1.02588489714594</v>
      </c>
      <c r="K473" s="14" t="str">
        <f t="shared" si="31"/>
        <v>1 (0)</v>
      </c>
      <c r="L473" s="14" t="str">
        <f t="shared" si="32"/>
        <v>1.03 (0.01)</v>
      </c>
    </row>
    <row r="474" spans="1:12" x14ac:dyDescent="0.25">
      <c r="A474" t="s">
        <v>85</v>
      </c>
      <c r="B474" t="s">
        <v>96</v>
      </c>
      <c r="C474" t="s">
        <v>122</v>
      </c>
      <c r="D474">
        <v>1.0168961679006201</v>
      </c>
      <c r="E474">
        <v>1.14622422433038E-2</v>
      </c>
      <c r="I474" s="13" t="str">
        <f t="shared" si="33"/>
        <v>TOPCROPSUNFLOWERSFu_EU</v>
      </c>
      <c r="J474" s="13">
        <f t="shared" si="34"/>
        <v>1.0168961679006201</v>
      </c>
      <c r="K474" s="14" t="str">
        <f t="shared" si="31"/>
        <v>1 (0)</v>
      </c>
      <c r="L474" s="14" t="str">
        <f t="shared" si="32"/>
        <v>1.02 (0.01)</v>
      </c>
    </row>
    <row r="475" spans="1:12" x14ac:dyDescent="0.25">
      <c r="A475" t="s">
        <v>85</v>
      </c>
      <c r="B475" t="s">
        <v>97</v>
      </c>
      <c r="C475" t="s">
        <v>122</v>
      </c>
      <c r="D475">
        <v>0.99241948848750094</v>
      </c>
      <c r="E475">
        <v>4.23197621967802E-2</v>
      </c>
      <c r="I475" s="13" t="str">
        <f t="shared" si="33"/>
        <v>TOPCROPSOYBEANSFu_EU</v>
      </c>
      <c r="J475" s="13">
        <f t="shared" si="34"/>
        <v>0.99241948848750094</v>
      </c>
      <c r="K475" s="14" t="str">
        <f t="shared" si="31"/>
        <v>1 (0)</v>
      </c>
      <c r="L475" s="14" t="str">
        <f t="shared" si="32"/>
        <v>0.99 (0.04)</v>
      </c>
    </row>
    <row r="476" spans="1:12" x14ac:dyDescent="0.25">
      <c r="A476" t="s">
        <v>85</v>
      </c>
      <c r="B476" t="s">
        <v>98</v>
      </c>
      <c r="C476" t="s">
        <v>122</v>
      </c>
      <c r="D476">
        <v>1.0274003122111</v>
      </c>
      <c r="E476">
        <v>1.2654404230522401E-2</v>
      </c>
      <c r="I476" s="13" t="str">
        <f t="shared" si="33"/>
        <v>TOPCROPBARLEYFu_EU</v>
      </c>
      <c r="J476" s="13">
        <f t="shared" si="34"/>
        <v>1.0274003122111</v>
      </c>
      <c r="K476" s="14" t="str">
        <f t="shared" si="31"/>
        <v>1 (0)</v>
      </c>
      <c r="L476" s="14" t="str">
        <f t="shared" si="32"/>
        <v>1.03 (0.01)</v>
      </c>
    </row>
    <row r="477" spans="1:12" x14ac:dyDescent="0.25">
      <c r="A477" t="s">
        <v>77</v>
      </c>
      <c r="B477" t="s">
        <v>77</v>
      </c>
      <c r="C477" t="s">
        <v>123</v>
      </c>
      <c r="D477">
        <v>1.03377180410013</v>
      </c>
      <c r="E477">
        <v>2.6348523140330999E-2</v>
      </c>
      <c r="I477" s="13" t="str">
        <f t="shared" si="33"/>
        <v>FCIPFCIPFu_BU</v>
      </c>
      <c r="J477" s="13">
        <f t="shared" si="34"/>
        <v>1.03377180410013</v>
      </c>
      <c r="K477" s="14" t="str">
        <f t="shared" si="31"/>
        <v>1 (0)</v>
      </c>
      <c r="L477" s="14" t="str">
        <f t="shared" si="32"/>
        <v>1.03 (0.03)</v>
      </c>
    </row>
    <row r="478" spans="1:12" x14ac:dyDescent="0.25">
      <c r="A478" t="s">
        <v>79</v>
      </c>
      <c r="B478" t="s">
        <v>80</v>
      </c>
      <c r="C478" t="s">
        <v>123</v>
      </c>
      <c r="D478">
        <v>1.03360877166913</v>
      </c>
      <c r="E478">
        <v>2.6513392126134801E-2</v>
      </c>
      <c r="I478" s="13" t="str">
        <f t="shared" si="33"/>
        <v>CGRPField CropsFu_BU</v>
      </c>
      <c r="J478" s="13">
        <f t="shared" si="34"/>
        <v>1.03360877166913</v>
      </c>
      <c r="K478" s="14" t="str">
        <f t="shared" si="31"/>
        <v>1 (0)</v>
      </c>
      <c r="L478" s="14" t="str">
        <f t="shared" si="32"/>
        <v>1.03 (0.03)</v>
      </c>
    </row>
    <row r="479" spans="1:12" x14ac:dyDescent="0.25">
      <c r="A479" t="s">
        <v>79</v>
      </c>
      <c r="B479" t="s">
        <v>81</v>
      </c>
      <c r="C479" t="s">
        <v>123</v>
      </c>
      <c r="D479">
        <v>1.0324092130295199</v>
      </c>
      <c r="E479">
        <v>2.0118434828692699E-2</v>
      </c>
      <c r="I479" s="13" t="str">
        <f t="shared" si="33"/>
        <v>CGRPNutsFu_BU</v>
      </c>
      <c r="J479" s="13">
        <f t="shared" si="34"/>
        <v>1.0324092130295199</v>
      </c>
      <c r="K479" s="14" t="str">
        <f t="shared" si="31"/>
        <v>1 (0)</v>
      </c>
      <c r="L479" s="14" t="str">
        <f t="shared" si="32"/>
        <v>1.03 (0.02)</v>
      </c>
    </row>
    <row r="480" spans="1:12" x14ac:dyDescent="0.25">
      <c r="A480" t="s">
        <v>79</v>
      </c>
      <c r="B480" t="s">
        <v>82</v>
      </c>
      <c r="C480" t="s">
        <v>123</v>
      </c>
      <c r="D480">
        <v>1.0308066691464299</v>
      </c>
      <c r="E480">
        <v>2.4318548380831299E-2</v>
      </c>
      <c r="I480" s="13" t="str">
        <f t="shared" si="33"/>
        <v>CGRPForagesFu_BU</v>
      </c>
      <c r="J480" s="13">
        <f t="shared" si="34"/>
        <v>1.0308066691464299</v>
      </c>
      <c r="K480" s="14" t="str">
        <f t="shared" si="31"/>
        <v>1 (0)</v>
      </c>
      <c r="L480" s="14" t="str">
        <f t="shared" si="32"/>
        <v>1.03 (0.02)</v>
      </c>
    </row>
    <row r="481" spans="1:12" x14ac:dyDescent="0.25">
      <c r="A481" t="s">
        <v>79</v>
      </c>
      <c r="B481" t="s">
        <v>83</v>
      </c>
      <c r="C481" t="s">
        <v>123</v>
      </c>
      <c r="D481">
        <v>1.0353522679848599</v>
      </c>
      <c r="E481">
        <v>2.18583394972631E-2</v>
      </c>
      <c r="I481" s="13" t="str">
        <f t="shared" si="33"/>
        <v>CGRPFruitsFu_BU</v>
      </c>
      <c r="J481" s="13">
        <f t="shared" si="34"/>
        <v>1.0353522679848599</v>
      </c>
      <c r="K481" s="14" t="str">
        <f t="shared" si="31"/>
        <v>1 (0)</v>
      </c>
      <c r="L481" s="14" t="str">
        <f t="shared" si="32"/>
        <v>1.04 (0.02)</v>
      </c>
    </row>
    <row r="482" spans="1:12" x14ac:dyDescent="0.25">
      <c r="A482" t="s">
        <v>79</v>
      </c>
      <c r="B482" t="s">
        <v>84</v>
      </c>
      <c r="C482" t="s">
        <v>123</v>
      </c>
      <c r="D482">
        <v>1.0379845370203999</v>
      </c>
      <c r="E482">
        <v>2.4167428502638699E-2</v>
      </c>
      <c r="I482" s="13" t="str">
        <f t="shared" si="33"/>
        <v>CGRPVegetablesFu_BU</v>
      </c>
      <c r="J482" s="13">
        <f t="shared" si="34"/>
        <v>1.0379845370203999</v>
      </c>
      <c r="K482" s="14" t="str">
        <f t="shared" si="31"/>
        <v>1 (0)</v>
      </c>
      <c r="L482" s="14" t="str">
        <f t="shared" si="32"/>
        <v>1.04 (0.02)</v>
      </c>
    </row>
    <row r="483" spans="1:12" x14ac:dyDescent="0.25">
      <c r="A483" t="s">
        <v>85</v>
      </c>
      <c r="B483" t="s">
        <v>86</v>
      </c>
      <c r="C483" t="s">
        <v>123</v>
      </c>
      <c r="D483">
        <v>1.04094285152872</v>
      </c>
      <c r="E483">
        <v>2.3003978980071602E-2</v>
      </c>
      <c r="I483" s="13" t="str">
        <f t="shared" si="33"/>
        <v>TOPCROPWHEATFu_BU</v>
      </c>
      <c r="J483" s="13">
        <f t="shared" si="34"/>
        <v>1.04094285152872</v>
      </c>
      <c r="K483" s="14" t="str">
        <f t="shared" si="31"/>
        <v>1 (0)</v>
      </c>
      <c r="L483" s="14" t="str">
        <f t="shared" si="32"/>
        <v>1.04 (0.02)</v>
      </c>
    </row>
    <row r="484" spans="1:12" x14ac:dyDescent="0.25">
      <c r="A484" t="s">
        <v>85</v>
      </c>
      <c r="B484" t="s">
        <v>87</v>
      </c>
      <c r="C484" t="s">
        <v>123</v>
      </c>
      <c r="D484">
        <v>1.0559784224394899</v>
      </c>
      <c r="E484">
        <v>2.7384502043530001E-2</v>
      </c>
      <c r="I484" s="13" t="str">
        <f t="shared" si="33"/>
        <v>TOPCROPCANOLAFu_BU</v>
      </c>
      <c r="J484" s="13">
        <f t="shared" si="34"/>
        <v>1.0559784224394899</v>
      </c>
      <c r="K484" s="14" t="str">
        <f t="shared" si="31"/>
        <v>1 (0)</v>
      </c>
      <c r="L484" s="14" t="str">
        <f t="shared" si="32"/>
        <v>1.06 (0.03)</v>
      </c>
    </row>
    <row r="485" spans="1:12" x14ac:dyDescent="0.25">
      <c r="A485" t="s">
        <v>85</v>
      </c>
      <c r="B485" t="s">
        <v>88</v>
      </c>
      <c r="C485" t="s">
        <v>123</v>
      </c>
      <c r="D485">
        <v>1.03246735531677</v>
      </c>
      <c r="E485">
        <v>2.6589388890292501E-2</v>
      </c>
      <c r="I485" s="13" t="str">
        <f t="shared" si="33"/>
        <v>TOPCROPOTHERFu_BU</v>
      </c>
      <c r="J485" s="13">
        <f t="shared" si="34"/>
        <v>1.03246735531677</v>
      </c>
      <c r="K485" s="14" t="str">
        <f t="shared" si="31"/>
        <v>1 (0)</v>
      </c>
      <c r="L485" s="14" t="str">
        <f t="shared" si="32"/>
        <v>1.03 (0.03)</v>
      </c>
    </row>
    <row r="486" spans="1:12" x14ac:dyDescent="0.25">
      <c r="A486" t="s">
        <v>85</v>
      </c>
      <c r="B486" t="s">
        <v>89</v>
      </c>
      <c r="C486" t="s">
        <v>123</v>
      </c>
      <c r="D486">
        <v>1.0362042356197301</v>
      </c>
      <c r="E486">
        <v>2.3740124277492301E-2</v>
      </c>
      <c r="I486" s="13" t="str">
        <f t="shared" si="33"/>
        <v>TOPCROPRICEFu_BU</v>
      </c>
      <c r="J486" s="13">
        <f t="shared" si="34"/>
        <v>1.0362042356197301</v>
      </c>
      <c r="K486" s="14" t="str">
        <f t="shared" si="31"/>
        <v>1 (0)</v>
      </c>
      <c r="L486" s="14" t="str">
        <f t="shared" si="32"/>
        <v>1.04 (0.02)</v>
      </c>
    </row>
    <row r="487" spans="1:12" x14ac:dyDescent="0.25">
      <c r="A487" t="s">
        <v>85</v>
      </c>
      <c r="B487" t="s">
        <v>90</v>
      </c>
      <c r="C487" t="s">
        <v>123</v>
      </c>
      <c r="D487">
        <v>1.04960316189023</v>
      </c>
      <c r="E487">
        <v>2.2413080451188502E-2</v>
      </c>
      <c r="I487" s="13" t="str">
        <f t="shared" si="33"/>
        <v>TOPCROPCOTTONFu_BU</v>
      </c>
      <c r="J487" s="13">
        <f t="shared" si="34"/>
        <v>1.04960316189023</v>
      </c>
      <c r="K487" s="14" t="str">
        <f t="shared" si="31"/>
        <v>1 (0)</v>
      </c>
      <c r="L487" s="14" t="str">
        <f t="shared" si="32"/>
        <v>1.05 (0.02)</v>
      </c>
    </row>
    <row r="488" spans="1:12" x14ac:dyDescent="0.25">
      <c r="A488" t="s">
        <v>85</v>
      </c>
      <c r="B488" t="s">
        <v>91</v>
      </c>
      <c r="C488" t="s">
        <v>123</v>
      </c>
      <c r="D488">
        <v>1.03549983605588</v>
      </c>
      <c r="E488">
        <v>2.75026968746474E-2</v>
      </c>
      <c r="I488" s="13" t="str">
        <f t="shared" si="33"/>
        <v>TOPCROPSUGAR BEETSFu_BU</v>
      </c>
      <c r="J488" s="13">
        <f t="shared" si="34"/>
        <v>1.03549983605588</v>
      </c>
      <c r="K488" s="14" t="str">
        <f t="shared" si="31"/>
        <v>1 (0)</v>
      </c>
      <c r="L488" s="14" t="str">
        <f t="shared" si="32"/>
        <v>1.04 (0.03)</v>
      </c>
    </row>
    <row r="489" spans="1:12" x14ac:dyDescent="0.25">
      <c r="A489" t="s">
        <v>85</v>
      </c>
      <c r="B489" t="s">
        <v>92</v>
      </c>
      <c r="C489" t="s">
        <v>123</v>
      </c>
      <c r="D489">
        <v>1.0295049166546999</v>
      </c>
      <c r="E489">
        <v>2.5250877640350701E-2</v>
      </c>
      <c r="I489" s="13" t="str">
        <f t="shared" si="33"/>
        <v>TOPCROPCORNFu_BU</v>
      </c>
      <c r="J489" s="13">
        <f t="shared" si="34"/>
        <v>1.0295049166546999</v>
      </c>
      <c r="K489" s="14" t="str">
        <f t="shared" si="31"/>
        <v>1 (0)</v>
      </c>
      <c r="L489" s="14" t="str">
        <f t="shared" si="32"/>
        <v>1.03 (0.03)</v>
      </c>
    </row>
    <row r="490" spans="1:12" x14ac:dyDescent="0.25">
      <c r="A490" t="s">
        <v>85</v>
      </c>
      <c r="B490" t="s">
        <v>93</v>
      </c>
      <c r="C490" t="s">
        <v>123</v>
      </c>
      <c r="D490">
        <v>1.03365100319741</v>
      </c>
      <c r="E490">
        <v>2.4323308217821998E-2</v>
      </c>
      <c r="I490" s="13" t="str">
        <f t="shared" si="33"/>
        <v>TOPCROPDRY BEANSFu_BU</v>
      </c>
      <c r="J490" s="13">
        <f t="shared" si="34"/>
        <v>1.03365100319741</v>
      </c>
      <c r="K490" s="14" t="str">
        <f t="shared" si="31"/>
        <v>1 (0)</v>
      </c>
      <c r="L490" s="14" t="str">
        <f t="shared" si="32"/>
        <v>1.03 (0.02)</v>
      </c>
    </row>
    <row r="491" spans="1:12" x14ac:dyDescent="0.25">
      <c r="A491" t="s">
        <v>85</v>
      </c>
      <c r="B491" t="s">
        <v>94</v>
      </c>
      <c r="C491" t="s">
        <v>123</v>
      </c>
      <c r="D491">
        <v>1.02535815692146</v>
      </c>
      <c r="E491">
        <v>2.2386363243864699E-2</v>
      </c>
      <c r="I491" s="13" t="str">
        <f t="shared" si="33"/>
        <v>TOPCROPSORGHUMFu_BU</v>
      </c>
      <c r="J491" s="13">
        <f t="shared" si="34"/>
        <v>1.02535815692146</v>
      </c>
      <c r="K491" s="14" t="str">
        <f t="shared" si="31"/>
        <v>1 (0)</v>
      </c>
      <c r="L491" s="14" t="str">
        <f t="shared" si="32"/>
        <v>1.03 (0.02)</v>
      </c>
    </row>
    <row r="492" spans="1:12" x14ac:dyDescent="0.25">
      <c r="A492" t="s">
        <v>85</v>
      </c>
      <c r="B492" t="s">
        <v>95</v>
      </c>
      <c r="C492" t="s">
        <v>123</v>
      </c>
      <c r="D492">
        <v>1.0489787611399899</v>
      </c>
      <c r="E492">
        <v>1.89555923281432E-2</v>
      </c>
      <c r="I492" s="13" t="str">
        <f t="shared" si="33"/>
        <v>TOPCROPDRY PEASFu_BU</v>
      </c>
      <c r="J492" s="13">
        <f t="shared" si="34"/>
        <v>1.0489787611399899</v>
      </c>
      <c r="K492" s="14" t="str">
        <f t="shared" si="31"/>
        <v>1 (0)</v>
      </c>
      <c r="L492" s="14" t="str">
        <f t="shared" si="32"/>
        <v>1.05 (0.02)</v>
      </c>
    </row>
    <row r="493" spans="1:12" x14ac:dyDescent="0.25">
      <c r="A493" t="s">
        <v>85</v>
      </c>
      <c r="B493" t="s">
        <v>96</v>
      </c>
      <c r="C493" t="s">
        <v>123</v>
      </c>
      <c r="D493">
        <v>1.0329402938598</v>
      </c>
      <c r="E493">
        <v>2.2342003064725301E-2</v>
      </c>
      <c r="I493" s="13" t="str">
        <f t="shared" si="33"/>
        <v>TOPCROPSUNFLOWERSFu_BU</v>
      </c>
      <c r="J493" s="13">
        <f t="shared" si="34"/>
        <v>1.0329402938598</v>
      </c>
      <c r="K493" s="14" t="str">
        <f t="shared" si="31"/>
        <v>1 (0)</v>
      </c>
      <c r="L493" s="14" t="str">
        <f t="shared" si="32"/>
        <v>1.03 (0.02)</v>
      </c>
    </row>
    <row r="494" spans="1:12" x14ac:dyDescent="0.25">
      <c r="A494" t="s">
        <v>85</v>
      </c>
      <c r="B494" t="s">
        <v>97</v>
      </c>
      <c r="C494" t="s">
        <v>123</v>
      </c>
      <c r="D494">
        <v>1.02599355534633</v>
      </c>
      <c r="E494">
        <v>2.7615103241692099E-2</v>
      </c>
      <c r="I494" s="13" t="str">
        <f t="shared" si="33"/>
        <v>TOPCROPSOYBEANSFu_BU</v>
      </c>
      <c r="J494" s="13">
        <f t="shared" si="34"/>
        <v>1.02599355534633</v>
      </c>
      <c r="K494" s="14" t="str">
        <f t="shared" si="31"/>
        <v>1 (0)</v>
      </c>
      <c r="L494" s="14" t="str">
        <f t="shared" si="32"/>
        <v>1.03 (0.03)</v>
      </c>
    </row>
    <row r="495" spans="1:12" x14ac:dyDescent="0.25">
      <c r="A495" t="s">
        <v>85</v>
      </c>
      <c r="B495" t="s">
        <v>98</v>
      </c>
      <c r="C495" t="s">
        <v>123</v>
      </c>
      <c r="D495">
        <v>1.0531732700696701</v>
      </c>
      <c r="E495">
        <v>2.4458289956040501E-2</v>
      </c>
      <c r="I495" s="13" t="str">
        <f t="shared" si="33"/>
        <v>TOPCROPBARLEYFu_BU</v>
      </c>
      <c r="J495" s="13">
        <f t="shared" si="34"/>
        <v>1.0531732700696701</v>
      </c>
      <c r="K495" s="14" t="str">
        <f t="shared" si="31"/>
        <v>1 (0)</v>
      </c>
      <c r="L495" s="14" t="str">
        <f t="shared" si="32"/>
        <v>1.05 (0.02)</v>
      </c>
    </row>
    <row r="496" spans="1:12" x14ac:dyDescent="0.25">
      <c r="I496" s="13" t="str">
        <f t="shared" si="33"/>
        <v/>
      </c>
      <c r="J496" s="13">
        <f t="shared" si="34"/>
        <v>0</v>
      </c>
      <c r="K496" s="14" t="str">
        <f t="shared" si="31"/>
        <v>0 (0)</v>
      </c>
      <c r="L496" s="14" t="str">
        <f t="shared" si="32"/>
        <v>0.00 (0.00)</v>
      </c>
    </row>
    <row r="497" spans="9:12" x14ac:dyDescent="0.25">
      <c r="I497" s="13" t="str">
        <f t="shared" si="33"/>
        <v/>
      </c>
      <c r="J497" s="13">
        <f t="shared" si="34"/>
        <v>0</v>
      </c>
      <c r="K497" s="14" t="str">
        <f t="shared" si="31"/>
        <v>0 (0)</v>
      </c>
      <c r="L497" s="14" t="str">
        <f t="shared" si="32"/>
        <v>0.00 (0.00)</v>
      </c>
    </row>
    <row r="498" spans="9:12" x14ac:dyDescent="0.25">
      <c r="I498" s="13" t="str">
        <f t="shared" si="33"/>
        <v/>
      </c>
      <c r="J498" s="13">
        <f t="shared" si="34"/>
        <v>0</v>
      </c>
      <c r="K498" s="14" t="str">
        <f t="shared" si="31"/>
        <v>0 (0)</v>
      </c>
      <c r="L498" s="14" t="str">
        <f t="shared" si="32"/>
        <v>0.00 (0.00)</v>
      </c>
    </row>
    <row r="499" spans="9:12" x14ac:dyDescent="0.25">
      <c r="I499" s="13" t="str">
        <f t="shared" si="33"/>
        <v/>
      </c>
      <c r="J499" s="13">
        <f t="shared" si="34"/>
        <v>0</v>
      </c>
      <c r="K499" s="14" t="str">
        <f t="shared" si="31"/>
        <v>0 (0)</v>
      </c>
      <c r="L499" s="14" t="str">
        <f t="shared" si="32"/>
        <v>0.00 (0.00)</v>
      </c>
    </row>
    <row r="500" spans="9:12" x14ac:dyDescent="0.25">
      <c r="I500" s="13" t="str">
        <f t="shared" si="33"/>
        <v/>
      </c>
      <c r="J500" s="13">
        <f t="shared" si="34"/>
        <v>0</v>
      </c>
      <c r="K500" s="14" t="str">
        <f t="shared" si="31"/>
        <v>0 (0)</v>
      </c>
      <c r="L500" s="14" t="str">
        <f t="shared" si="32"/>
        <v>0.00 (0.00)</v>
      </c>
    </row>
    <row r="501" spans="9:12" x14ac:dyDescent="0.25">
      <c r="I501" s="13" t="str">
        <f t="shared" si="33"/>
        <v/>
      </c>
      <c r="J501" s="13">
        <f t="shared" si="34"/>
        <v>0</v>
      </c>
      <c r="K501" s="14" t="str">
        <f t="shared" si="31"/>
        <v>0 (0)</v>
      </c>
      <c r="L501" s="14" t="str">
        <f t="shared" si="32"/>
        <v>0.00 (0.00)</v>
      </c>
    </row>
    <row r="502" spans="9:12" x14ac:dyDescent="0.25">
      <c r="I502" s="13" t="str">
        <f t="shared" si="33"/>
        <v/>
      </c>
      <c r="J502" s="13">
        <f t="shared" si="34"/>
        <v>0</v>
      </c>
      <c r="K502" s="14" t="str">
        <f t="shared" si="31"/>
        <v>0 (0)</v>
      </c>
      <c r="L502" s="14" t="str">
        <f t="shared" si="32"/>
        <v>0.00 (0.00)</v>
      </c>
    </row>
    <row r="503" spans="9:12" x14ac:dyDescent="0.25">
      <c r="I503" s="13" t="str">
        <f t="shared" si="33"/>
        <v/>
      </c>
      <c r="J503" s="13">
        <f t="shared" si="34"/>
        <v>0</v>
      </c>
      <c r="K503" s="14" t="str">
        <f t="shared" si="31"/>
        <v>0 (0)</v>
      </c>
      <c r="L503" s="14" t="str">
        <f t="shared" si="32"/>
        <v>0.00 (0.00)</v>
      </c>
    </row>
    <row r="504" spans="9:12" x14ac:dyDescent="0.25">
      <c r="I504" s="13" t="str">
        <f t="shared" si="33"/>
        <v/>
      </c>
      <c r="J504" s="13">
        <f t="shared" si="34"/>
        <v>0</v>
      </c>
      <c r="K504" s="14" t="str">
        <f t="shared" si="31"/>
        <v>0 (0)</v>
      </c>
      <c r="L504" s="14" t="str">
        <f t="shared" si="32"/>
        <v>0.00 (0.00)</v>
      </c>
    </row>
    <row r="505" spans="9:12" x14ac:dyDescent="0.25">
      <c r="I505" s="13" t="str">
        <f t="shared" si="33"/>
        <v/>
      </c>
      <c r="J505" s="13">
        <f t="shared" si="34"/>
        <v>0</v>
      </c>
      <c r="K505" s="14" t="str">
        <f t="shared" si="31"/>
        <v>0 (0)</v>
      </c>
      <c r="L505" s="14" t="str">
        <f t="shared" si="32"/>
        <v>0.00 (0.00)</v>
      </c>
    </row>
    <row r="506" spans="9:12" x14ac:dyDescent="0.25">
      <c r="I506" s="13" t="str">
        <f t="shared" si="33"/>
        <v/>
      </c>
      <c r="J506" s="13">
        <f t="shared" si="34"/>
        <v>0</v>
      </c>
      <c r="K506" s="14" t="str">
        <f t="shared" si="31"/>
        <v>0 (0)</v>
      </c>
      <c r="L506" s="14" t="str">
        <f t="shared" si="32"/>
        <v>0.00 (0.00)</v>
      </c>
    </row>
    <row r="507" spans="9:12" x14ac:dyDescent="0.25">
      <c r="I507" s="13" t="str">
        <f t="shared" si="33"/>
        <v/>
      </c>
      <c r="J507" s="13">
        <f t="shared" si="34"/>
        <v>0</v>
      </c>
      <c r="K507" s="14" t="str">
        <f t="shared" si="31"/>
        <v>0 (0)</v>
      </c>
      <c r="L507" s="14" t="str">
        <f t="shared" si="32"/>
        <v>0.00 (0.00)</v>
      </c>
    </row>
    <row r="508" spans="9:12" x14ac:dyDescent="0.25">
      <c r="I508" s="13" t="str">
        <f t="shared" si="33"/>
        <v/>
      </c>
      <c r="J508" s="13">
        <f t="shared" si="34"/>
        <v>0</v>
      </c>
      <c r="K508" s="14" t="str">
        <f t="shared" si="31"/>
        <v>0 (0)</v>
      </c>
      <c r="L508" s="14" t="str">
        <f t="shared" si="32"/>
        <v>0.00 (0.00)</v>
      </c>
    </row>
    <row r="509" spans="9:12" x14ac:dyDescent="0.25">
      <c r="I509" s="13" t="str">
        <f t="shared" si="33"/>
        <v/>
      </c>
      <c r="J509" s="13">
        <f t="shared" si="34"/>
        <v>0</v>
      </c>
      <c r="K509" s="14" t="str">
        <f t="shared" si="31"/>
        <v>0 (0)</v>
      </c>
      <c r="L509" s="14" t="str">
        <f t="shared" si="32"/>
        <v>0.00 (0.00)</v>
      </c>
    </row>
    <row r="510" spans="9:12" x14ac:dyDescent="0.25">
      <c r="I510" s="13" t="str">
        <f t="shared" si="33"/>
        <v/>
      </c>
      <c r="J510" s="13">
        <f t="shared" si="34"/>
        <v>0</v>
      </c>
      <c r="K510" s="14" t="str">
        <f t="shared" si="31"/>
        <v>0 (0)</v>
      </c>
      <c r="L510" s="14" t="str">
        <f t="shared" si="32"/>
        <v>0.00 (0.00)</v>
      </c>
    </row>
    <row r="511" spans="9:12" x14ac:dyDescent="0.25">
      <c r="I511" s="13" t="str">
        <f t="shared" si="33"/>
        <v/>
      </c>
      <c r="J511" s="13">
        <f t="shared" si="34"/>
        <v>0</v>
      </c>
      <c r="K511" s="14" t="str">
        <f t="shared" si="31"/>
        <v>0 (0)</v>
      </c>
      <c r="L511" s="14" t="str">
        <f t="shared" si="32"/>
        <v>0.00 (0.00)</v>
      </c>
    </row>
    <row r="512" spans="9:12" x14ac:dyDescent="0.25">
      <c r="I512" s="13" t="str">
        <f t="shared" si="33"/>
        <v/>
      </c>
      <c r="J512" s="13">
        <f t="shared" si="34"/>
        <v>0</v>
      </c>
      <c r="K512" s="14" t="str">
        <f t="shared" si="31"/>
        <v>0 (0)</v>
      </c>
      <c r="L512" s="14" t="str">
        <f t="shared" si="32"/>
        <v>0.00 (0.00)</v>
      </c>
    </row>
    <row r="513" spans="9:12" x14ac:dyDescent="0.25">
      <c r="I513" s="13" t="str">
        <f t="shared" si="33"/>
        <v/>
      </c>
      <c r="J513" s="13">
        <f t="shared" si="34"/>
        <v>0</v>
      </c>
      <c r="K513" s="14" t="str">
        <f t="shared" si="31"/>
        <v>0 (0)</v>
      </c>
      <c r="L513" s="14" t="str">
        <f t="shared" si="32"/>
        <v>0.00 (0.00)</v>
      </c>
    </row>
    <row r="514" spans="9:12" x14ac:dyDescent="0.25">
      <c r="I514" s="13" t="str">
        <f t="shared" si="33"/>
        <v/>
      </c>
      <c r="J514" s="13">
        <f t="shared" si="34"/>
        <v>0</v>
      </c>
      <c r="K514" s="14" t="str">
        <f t="shared" si="31"/>
        <v>0 (0)</v>
      </c>
      <c r="L514" s="14" t="str">
        <f t="shared" si="32"/>
        <v>0.00 (0.00)</v>
      </c>
    </row>
    <row r="515" spans="9:12" x14ac:dyDescent="0.25">
      <c r="I515" s="13" t="str">
        <f t="shared" si="33"/>
        <v/>
      </c>
      <c r="J515" s="13">
        <f t="shared" si="34"/>
        <v>0</v>
      </c>
      <c r="K515" s="14" t="str">
        <f t="shared" ref="K515:K578" si="35">TEXT(D515,"0")&amp;" ("&amp;TEXT(E515,"0")&amp;")"</f>
        <v>0 (0)</v>
      </c>
      <c r="L515" s="14" t="str">
        <f t="shared" ref="L515:L578" si="36">TEXT(D515,"0.00")&amp;" ("&amp;TEXT(E515,"0.00")&amp;")"</f>
        <v>0.00 (0.00)</v>
      </c>
    </row>
    <row r="516" spans="9:12" x14ac:dyDescent="0.25">
      <c r="I516" s="13" t="str">
        <f t="shared" ref="I516:I579" si="37">_xlfn.CONCAT(A516:C516)</f>
        <v/>
      </c>
      <c r="J516" s="13">
        <f t="shared" ref="J516:J579" si="38">D516</f>
        <v>0</v>
      </c>
      <c r="K516" s="14" t="str">
        <f t="shared" si="35"/>
        <v>0 (0)</v>
      </c>
      <c r="L516" s="14" t="str">
        <f t="shared" si="36"/>
        <v>0.00 (0.00)</v>
      </c>
    </row>
    <row r="517" spans="9:12" x14ac:dyDescent="0.25">
      <c r="I517" s="13" t="str">
        <f t="shared" si="37"/>
        <v/>
      </c>
      <c r="J517" s="13">
        <f t="shared" si="38"/>
        <v>0</v>
      </c>
      <c r="K517" s="14" t="str">
        <f t="shared" si="35"/>
        <v>0 (0)</v>
      </c>
      <c r="L517" s="14" t="str">
        <f t="shared" si="36"/>
        <v>0.00 (0.00)</v>
      </c>
    </row>
    <row r="518" spans="9:12" x14ac:dyDescent="0.25">
      <c r="I518" s="13" t="str">
        <f t="shared" si="37"/>
        <v/>
      </c>
      <c r="J518" s="13">
        <f t="shared" si="38"/>
        <v>0</v>
      </c>
      <c r="K518" s="14" t="str">
        <f t="shared" si="35"/>
        <v>0 (0)</v>
      </c>
      <c r="L518" s="14" t="str">
        <f t="shared" si="36"/>
        <v>0.00 (0.00)</v>
      </c>
    </row>
    <row r="519" spans="9:12" x14ac:dyDescent="0.25">
      <c r="I519" s="13" t="str">
        <f t="shared" si="37"/>
        <v/>
      </c>
      <c r="J519" s="13">
        <f t="shared" si="38"/>
        <v>0</v>
      </c>
      <c r="K519" s="14" t="str">
        <f t="shared" si="35"/>
        <v>0 (0)</v>
      </c>
      <c r="L519" s="14" t="str">
        <f t="shared" si="36"/>
        <v>0.00 (0.00)</v>
      </c>
    </row>
    <row r="520" spans="9:12" x14ac:dyDescent="0.25">
      <c r="I520" s="13" t="str">
        <f t="shared" si="37"/>
        <v/>
      </c>
      <c r="J520" s="13">
        <f t="shared" si="38"/>
        <v>0</v>
      </c>
      <c r="K520" s="14" t="str">
        <f t="shared" si="35"/>
        <v>0 (0)</v>
      </c>
      <c r="L520" s="14" t="str">
        <f t="shared" si="36"/>
        <v>0.00 (0.00)</v>
      </c>
    </row>
    <row r="521" spans="9:12" x14ac:dyDescent="0.25">
      <c r="I521" s="13" t="str">
        <f t="shared" si="37"/>
        <v/>
      </c>
      <c r="J521" s="13">
        <f t="shared" si="38"/>
        <v>0</v>
      </c>
      <c r="K521" s="14" t="str">
        <f t="shared" si="35"/>
        <v>0 (0)</v>
      </c>
      <c r="L521" s="14" t="str">
        <f t="shared" si="36"/>
        <v>0.00 (0.00)</v>
      </c>
    </row>
    <row r="522" spans="9:12" x14ac:dyDescent="0.25">
      <c r="I522" s="13" t="str">
        <f t="shared" si="37"/>
        <v/>
      </c>
      <c r="J522" s="13">
        <f t="shared" si="38"/>
        <v>0</v>
      </c>
      <c r="K522" s="14" t="str">
        <f t="shared" si="35"/>
        <v>0 (0)</v>
      </c>
      <c r="L522" s="14" t="str">
        <f t="shared" si="36"/>
        <v>0.00 (0.00)</v>
      </c>
    </row>
    <row r="523" spans="9:12" x14ac:dyDescent="0.25">
      <c r="I523" s="13" t="str">
        <f t="shared" si="37"/>
        <v/>
      </c>
      <c r="J523" s="13">
        <f t="shared" si="38"/>
        <v>0</v>
      </c>
      <c r="K523" s="14" t="str">
        <f t="shared" si="35"/>
        <v>0 (0)</v>
      </c>
      <c r="L523" s="14" t="str">
        <f t="shared" si="36"/>
        <v>0.00 (0.00)</v>
      </c>
    </row>
    <row r="524" spans="9:12" x14ac:dyDescent="0.25">
      <c r="I524" s="13" t="str">
        <f t="shared" si="37"/>
        <v/>
      </c>
      <c r="J524" s="13">
        <f t="shared" si="38"/>
        <v>0</v>
      </c>
      <c r="K524" s="14" t="str">
        <f t="shared" si="35"/>
        <v>0 (0)</v>
      </c>
      <c r="L524" s="14" t="str">
        <f t="shared" si="36"/>
        <v>0.00 (0.00)</v>
      </c>
    </row>
    <row r="525" spans="9:12" x14ac:dyDescent="0.25">
      <c r="I525" s="13" t="str">
        <f t="shared" si="37"/>
        <v/>
      </c>
      <c r="J525" s="13">
        <f t="shared" si="38"/>
        <v>0</v>
      </c>
      <c r="K525" s="14" t="str">
        <f t="shared" si="35"/>
        <v>0 (0)</v>
      </c>
      <c r="L525" s="14" t="str">
        <f t="shared" si="36"/>
        <v>0.00 (0.00)</v>
      </c>
    </row>
    <row r="526" spans="9:12" x14ac:dyDescent="0.25">
      <c r="I526" s="13" t="str">
        <f t="shared" si="37"/>
        <v/>
      </c>
      <c r="J526" s="13">
        <f t="shared" si="38"/>
        <v>0</v>
      </c>
      <c r="K526" s="14" t="str">
        <f t="shared" si="35"/>
        <v>0 (0)</v>
      </c>
      <c r="L526" s="14" t="str">
        <f t="shared" si="36"/>
        <v>0.00 (0.00)</v>
      </c>
    </row>
    <row r="527" spans="9:12" x14ac:dyDescent="0.25">
      <c r="I527" s="13" t="str">
        <f t="shared" si="37"/>
        <v/>
      </c>
      <c r="J527" s="13">
        <f t="shared" si="38"/>
        <v>0</v>
      </c>
      <c r="K527" s="14" t="str">
        <f t="shared" si="35"/>
        <v>0 (0)</v>
      </c>
      <c r="L527" s="14" t="str">
        <f t="shared" si="36"/>
        <v>0.00 (0.00)</v>
      </c>
    </row>
    <row r="528" spans="9:12" x14ac:dyDescent="0.25">
      <c r="I528" s="13" t="str">
        <f t="shared" si="37"/>
        <v/>
      </c>
      <c r="J528" s="13">
        <f t="shared" si="38"/>
        <v>0</v>
      </c>
      <c r="K528" s="14" t="str">
        <f t="shared" si="35"/>
        <v>0 (0)</v>
      </c>
      <c r="L528" s="14" t="str">
        <f t="shared" si="36"/>
        <v>0.00 (0.00)</v>
      </c>
    </row>
    <row r="529" spans="9:12" x14ac:dyDescent="0.25">
      <c r="I529" s="13" t="str">
        <f t="shared" si="37"/>
        <v/>
      </c>
      <c r="J529" s="13">
        <f t="shared" si="38"/>
        <v>0</v>
      </c>
      <c r="K529" s="14" t="str">
        <f t="shared" si="35"/>
        <v>0 (0)</v>
      </c>
      <c r="L529" s="14" t="str">
        <f t="shared" si="36"/>
        <v>0.00 (0.00)</v>
      </c>
    </row>
    <row r="530" spans="9:12" x14ac:dyDescent="0.25">
      <c r="I530" s="13" t="str">
        <f t="shared" si="37"/>
        <v/>
      </c>
      <c r="J530" s="13">
        <f t="shared" si="38"/>
        <v>0</v>
      </c>
      <c r="K530" s="14" t="str">
        <f t="shared" si="35"/>
        <v>0 (0)</v>
      </c>
      <c r="L530" s="14" t="str">
        <f t="shared" si="36"/>
        <v>0.00 (0.00)</v>
      </c>
    </row>
    <row r="531" spans="9:12" x14ac:dyDescent="0.25">
      <c r="I531" s="13" t="str">
        <f t="shared" si="37"/>
        <v/>
      </c>
      <c r="J531" s="13">
        <f t="shared" si="38"/>
        <v>0</v>
      </c>
      <c r="K531" s="14" t="str">
        <f t="shared" si="35"/>
        <v>0 (0)</v>
      </c>
      <c r="L531" s="14" t="str">
        <f t="shared" si="36"/>
        <v>0.00 (0.00)</v>
      </c>
    </row>
    <row r="532" spans="9:12" x14ac:dyDescent="0.25">
      <c r="I532" s="13" t="str">
        <f t="shared" si="37"/>
        <v/>
      </c>
      <c r="J532" s="13">
        <f t="shared" si="38"/>
        <v>0</v>
      </c>
      <c r="K532" s="14" t="str">
        <f t="shared" si="35"/>
        <v>0 (0)</v>
      </c>
      <c r="L532" s="14" t="str">
        <f t="shared" si="36"/>
        <v>0.00 (0.00)</v>
      </c>
    </row>
    <row r="533" spans="9:12" x14ac:dyDescent="0.25">
      <c r="I533" s="13" t="str">
        <f t="shared" si="37"/>
        <v/>
      </c>
      <c r="J533" s="13">
        <f t="shared" si="38"/>
        <v>0</v>
      </c>
      <c r="K533" s="14" t="str">
        <f t="shared" si="35"/>
        <v>0 (0)</v>
      </c>
      <c r="L533" s="14" t="str">
        <f t="shared" si="36"/>
        <v>0.00 (0.00)</v>
      </c>
    </row>
    <row r="534" spans="9:12" x14ac:dyDescent="0.25">
      <c r="I534" s="13" t="str">
        <f t="shared" si="37"/>
        <v/>
      </c>
      <c r="J534" s="13">
        <f t="shared" si="38"/>
        <v>0</v>
      </c>
      <c r="K534" s="14" t="str">
        <f t="shared" si="35"/>
        <v>0 (0)</v>
      </c>
      <c r="L534" s="14" t="str">
        <f t="shared" si="36"/>
        <v>0.00 (0.00)</v>
      </c>
    </row>
    <row r="535" spans="9:12" x14ac:dyDescent="0.25">
      <c r="I535" s="13" t="str">
        <f t="shared" si="37"/>
        <v/>
      </c>
      <c r="J535" s="13">
        <f t="shared" si="38"/>
        <v>0</v>
      </c>
      <c r="K535" s="14" t="str">
        <f t="shared" si="35"/>
        <v>0 (0)</v>
      </c>
      <c r="L535" s="14" t="str">
        <f t="shared" si="36"/>
        <v>0.00 (0.00)</v>
      </c>
    </row>
    <row r="536" spans="9:12" x14ac:dyDescent="0.25">
      <c r="I536" s="13" t="str">
        <f t="shared" si="37"/>
        <v/>
      </c>
      <c r="J536" s="13">
        <f t="shared" si="38"/>
        <v>0</v>
      </c>
      <c r="K536" s="14" t="str">
        <f t="shared" si="35"/>
        <v>0 (0)</v>
      </c>
      <c r="L536" s="14" t="str">
        <f t="shared" si="36"/>
        <v>0.00 (0.00)</v>
      </c>
    </row>
    <row r="537" spans="9:12" x14ac:dyDescent="0.25">
      <c r="I537" s="13" t="str">
        <f t="shared" si="37"/>
        <v/>
      </c>
      <c r="J537" s="13">
        <f t="shared" si="38"/>
        <v>0</v>
      </c>
      <c r="K537" s="14" t="str">
        <f t="shared" si="35"/>
        <v>0 (0)</v>
      </c>
      <c r="L537" s="14" t="str">
        <f t="shared" si="36"/>
        <v>0.00 (0.00)</v>
      </c>
    </row>
    <row r="538" spans="9:12" x14ac:dyDescent="0.25">
      <c r="I538" s="13" t="str">
        <f t="shared" si="37"/>
        <v/>
      </c>
      <c r="J538" s="13">
        <f t="shared" si="38"/>
        <v>0</v>
      </c>
      <c r="K538" s="14" t="str">
        <f t="shared" si="35"/>
        <v>0 (0)</v>
      </c>
      <c r="L538" s="14" t="str">
        <f t="shared" si="36"/>
        <v>0.00 (0.00)</v>
      </c>
    </row>
    <row r="539" spans="9:12" x14ac:dyDescent="0.25">
      <c r="I539" s="13" t="str">
        <f t="shared" si="37"/>
        <v/>
      </c>
      <c r="J539" s="13">
        <f t="shared" si="38"/>
        <v>0</v>
      </c>
      <c r="K539" s="14" t="str">
        <f t="shared" si="35"/>
        <v>0 (0)</v>
      </c>
      <c r="L539" s="14" t="str">
        <f t="shared" si="36"/>
        <v>0.00 (0.00)</v>
      </c>
    </row>
    <row r="540" spans="9:12" x14ac:dyDescent="0.25">
      <c r="I540" s="13" t="str">
        <f t="shared" si="37"/>
        <v/>
      </c>
      <c r="J540" s="13">
        <f t="shared" si="38"/>
        <v>0</v>
      </c>
      <c r="K540" s="14" t="str">
        <f t="shared" si="35"/>
        <v>0 (0)</v>
      </c>
      <c r="L540" s="14" t="str">
        <f t="shared" si="36"/>
        <v>0.00 (0.00)</v>
      </c>
    </row>
    <row r="541" spans="9:12" x14ac:dyDescent="0.25">
      <c r="I541" s="13" t="str">
        <f t="shared" si="37"/>
        <v/>
      </c>
      <c r="J541" s="13">
        <f t="shared" si="38"/>
        <v>0</v>
      </c>
      <c r="K541" s="14" t="str">
        <f t="shared" si="35"/>
        <v>0 (0)</v>
      </c>
      <c r="L541" s="14" t="str">
        <f t="shared" si="36"/>
        <v>0.00 (0.00)</v>
      </c>
    </row>
    <row r="542" spans="9:12" x14ac:dyDescent="0.25">
      <c r="I542" s="13" t="str">
        <f t="shared" si="37"/>
        <v/>
      </c>
      <c r="J542" s="13">
        <f t="shared" si="38"/>
        <v>0</v>
      </c>
      <c r="K542" s="14" t="str">
        <f t="shared" si="35"/>
        <v>0 (0)</v>
      </c>
      <c r="L542" s="14" t="str">
        <f t="shared" si="36"/>
        <v>0.00 (0.00)</v>
      </c>
    </row>
    <row r="543" spans="9:12" x14ac:dyDescent="0.25">
      <c r="I543" s="13" t="str">
        <f t="shared" si="37"/>
        <v/>
      </c>
      <c r="J543" s="13">
        <f t="shared" si="38"/>
        <v>0</v>
      </c>
      <c r="K543" s="14" t="str">
        <f t="shared" si="35"/>
        <v>0 (0)</v>
      </c>
      <c r="L543" s="14" t="str">
        <f t="shared" si="36"/>
        <v>0.00 (0.00)</v>
      </c>
    </row>
    <row r="544" spans="9:12" x14ac:dyDescent="0.25">
      <c r="I544" s="13" t="str">
        <f t="shared" si="37"/>
        <v/>
      </c>
      <c r="J544" s="13">
        <f t="shared" si="38"/>
        <v>0</v>
      </c>
      <c r="K544" s="14" t="str">
        <f t="shared" si="35"/>
        <v>0 (0)</v>
      </c>
      <c r="L544" s="14" t="str">
        <f t="shared" si="36"/>
        <v>0.00 (0.00)</v>
      </c>
    </row>
    <row r="545" spans="9:12" x14ac:dyDescent="0.25">
      <c r="I545" s="13" t="str">
        <f t="shared" si="37"/>
        <v/>
      </c>
      <c r="J545" s="13">
        <f t="shared" si="38"/>
        <v>0</v>
      </c>
      <c r="K545" s="14" t="str">
        <f t="shared" si="35"/>
        <v>0 (0)</v>
      </c>
      <c r="L545" s="14" t="str">
        <f t="shared" si="36"/>
        <v>0.00 (0.00)</v>
      </c>
    </row>
    <row r="546" spans="9:12" x14ac:dyDescent="0.25">
      <c r="I546" s="13" t="str">
        <f t="shared" si="37"/>
        <v/>
      </c>
      <c r="J546" s="13">
        <f t="shared" si="38"/>
        <v>0</v>
      </c>
      <c r="K546" s="14" t="str">
        <f t="shared" si="35"/>
        <v>0 (0)</v>
      </c>
      <c r="L546" s="14" t="str">
        <f t="shared" si="36"/>
        <v>0.00 (0.00)</v>
      </c>
    </row>
    <row r="547" spans="9:12" x14ac:dyDescent="0.25">
      <c r="I547" s="13" t="str">
        <f t="shared" si="37"/>
        <v/>
      </c>
      <c r="J547" s="13">
        <f t="shared" si="38"/>
        <v>0</v>
      </c>
      <c r="K547" s="14" t="str">
        <f t="shared" si="35"/>
        <v>0 (0)</v>
      </c>
      <c r="L547" s="14" t="str">
        <f t="shared" si="36"/>
        <v>0.00 (0.00)</v>
      </c>
    </row>
    <row r="548" spans="9:12" x14ac:dyDescent="0.25">
      <c r="I548" s="13" t="str">
        <f t="shared" si="37"/>
        <v/>
      </c>
      <c r="J548" s="13">
        <f t="shared" si="38"/>
        <v>0</v>
      </c>
      <c r="K548" s="14" t="str">
        <f t="shared" si="35"/>
        <v>0 (0)</v>
      </c>
      <c r="L548" s="14" t="str">
        <f t="shared" si="36"/>
        <v>0.00 (0.00)</v>
      </c>
    </row>
    <row r="549" spans="9:12" x14ac:dyDescent="0.25">
      <c r="I549" s="13" t="str">
        <f t="shared" si="37"/>
        <v/>
      </c>
      <c r="J549" s="13">
        <f t="shared" si="38"/>
        <v>0</v>
      </c>
      <c r="K549" s="14" t="str">
        <f t="shared" si="35"/>
        <v>0 (0)</v>
      </c>
      <c r="L549" s="14" t="str">
        <f t="shared" si="36"/>
        <v>0.00 (0.00)</v>
      </c>
    </row>
    <row r="550" spans="9:12" x14ac:dyDescent="0.25">
      <c r="I550" s="13" t="str">
        <f t="shared" si="37"/>
        <v/>
      </c>
      <c r="J550" s="13">
        <f t="shared" si="38"/>
        <v>0</v>
      </c>
      <c r="K550" s="14" t="str">
        <f t="shared" si="35"/>
        <v>0 (0)</v>
      </c>
      <c r="L550" s="14" t="str">
        <f t="shared" si="36"/>
        <v>0.00 (0.00)</v>
      </c>
    </row>
    <row r="551" spans="9:12" x14ac:dyDescent="0.25">
      <c r="I551" s="13" t="str">
        <f t="shared" si="37"/>
        <v/>
      </c>
      <c r="J551" s="13">
        <f t="shared" si="38"/>
        <v>0</v>
      </c>
      <c r="K551" s="14" t="str">
        <f t="shared" si="35"/>
        <v>0 (0)</v>
      </c>
      <c r="L551" s="14" t="str">
        <f t="shared" si="36"/>
        <v>0.00 (0.00)</v>
      </c>
    </row>
    <row r="552" spans="9:12" x14ac:dyDescent="0.25">
      <c r="I552" s="13" t="str">
        <f t="shared" si="37"/>
        <v/>
      </c>
      <c r="J552" s="13">
        <f t="shared" si="38"/>
        <v>0</v>
      </c>
      <c r="K552" s="14" t="str">
        <f t="shared" si="35"/>
        <v>0 (0)</v>
      </c>
      <c r="L552" s="14" t="str">
        <f t="shared" si="36"/>
        <v>0.00 (0.00)</v>
      </c>
    </row>
    <row r="553" spans="9:12" x14ac:dyDescent="0.25">
      <c r="I553" s="13" t="str">
        <f t="shared" si="37"/>
        <v/>
      </c>
      <c r="J553" s="13">
        <f t="shared" si="38"/>
        <v>0</v>
      </c>
      <c r="K553" s="14" t="str">
        <f t="shared" si="35"/>
        <v>0 (0)</v>
      </c>
      <c r="L553" s="14" t="str">
        <f t="shared" si="36"/>
        <v>0.00 (0.00)</v>
      </c>
    </row>
    <row r="554" spans="9:12" x14ac:dyDescent="0.25">
      <c r="I554" s="13" t="str">
        <f t="shared" si="37"/>
        <v/>
      </c>
      <c r="J554" s="13">
        <f t="shared" si="38"/>
        <v>0</v>
      </c>
      <c r="K554" s="14" t="str">
        <f t="shared" si="35"/>
        <v>0 (0)</v>
      </c>
      <c r="L554" s="14" t="str">
        <f t="shared" si="36"/>
        <v>0.00 (0.00)</v>
      </c>
    </row>
    <row r="555" spans="9:12" x14ac:dyDescent="0.25">
      <c r="I555" s="13" t="str">
        <f t="shared" si="37"/>
        <v/>
      </c>
      <c r="J555" s="13">
        <f t="shared" si="38"/>
        <v>0</v>
      </c>
      <c r="K555" s="14" t="str">
        <f t="shared" si="35"/>
        <v>0 (0)</v>
      </c>
      <c r="L555" s="14" t="str">
        <f t="shared" si="36"/>
        <v>0.00 (0.00)</v>
      </c>
    </row>
    <row r="556" spans="9:12" x14ac:dyDescent="0.25">
      <c r="I556" s="13" t="str">
        <f t="shared" si="37"/>
        <v/>
      </c>
      <c r="J556" s="13">
        <f t="shared" si="38"/>
        <v>0</v>
      </c>
      <c r="K556" s="14" t="str">
        <f t="shared" si="35"/>
        <v>0 (0)</v>
      </c>
      <c r="L556" s="14" t="str">
        <f t="shared" si="36"/>
        <v>0.00 (0.00)</v>
      </c>
    </row>
    <row r="557" spans="9:12" x14ac:dyDescent="0.25">
      <c r="I557" s="13" t="str">
        <f t="shared" si="37"/>
        <v/>
      </c>
      <c r="J557" s="13">
        <f t="shared" si="38"/>
        <v>0</v>
      </c>
      <c r="K557" s="14" t="str">
        <f t="shared" si="35"/>
        <v>0 (0)</v>
      </c>
      <c r="L557" s="14" t="str">
        <f t="shared" si="36"/>
        <v>0.00 (0.00)</v>
      </c>
    </row>
    <row r="558" spans="9:12" x14ac:dyDescent="0.25">
      <c r="I558" s="13" t="str">
        <f t="shared" si="37"/>
        <v/>
      </c>
      <c r="J558" s="13">
        <f t="shared" si="38"/>
        <v>0</v>
      </c>
      <c r="K558" s="14" t="str">
        <f t="shared" si="35"/>
        <v>0 (0)</v>
      </c>
      <c r="L558" s="14" t="str">
        <f t="shared" si="36"/>
        <v>0.00 (0.00)</v>
      </c>
    </row>
    <row r="559" spans="9:12" x14ac:dyDescent="0.25">
      <c r="I559" s="13" t="str">
        <f t="shared" si="37"/>
        <v/>
      </c>
      <c r="J559" s="13">
        <f t="shared" si="38"/>
        <v>0</v>
      </c>
      <c r="K559" s="14" t="str">
        <f t="shared" si="35"/>
        <v>0 (0)</v>
      </c>
      <c r="L559" s="14" t="str">
        <f t="shared" si="36"/>
        <v>0.00 (0.00)</v>
      </c>
    </row>
    <row r="560" spans="9:12" x14ac:dyDescent="0.25">
      <c r="I560" s="13" t="str">
        <f t="shared" si="37"/>
        <v/>
      </c>
      <c r="J560" s="13">
        <f t="shared" si="38"/>
        <v>0</v>
      </c>
      <c r="K560" s="14" t="str">
        <f t="shared" si="35"/>
        <v>0 (0)</v>
      </c>
      <c r="L560" s="14" t="str">
        <f t="shared" si="36"/>
        <v>0.00 (0.00)</v>
      </c>
    </row>
    <row r="561" spans="9:12" x14ac:dyDescent="0.25">
      <c r="I561" s="13" t="str">
        <f t="shared" si="37"/>
        <v/>
      </c>
      <c r="J561" s="13">
        <f t="shared" si="38"/>
        <v>0</v>
      </c>
      <c r="K561" s="14" t="str">
        <f t="shared" si="35"/>
        <v>0 (0)</v>
      </c>
      <c r="L561" s="14" t="str">
        <f t="shared" si="36"/>
        <v>0.00 (0.00)</v>
      </c>
    </row>
    <row r="562" spans="9:12" x14ac:dyDescent="0.25">
      <c r="I562" s="13" t="str">
        <f t="shared" si="37"/>
        <v/>
      </c>
      <c r="J562" s="13">
        <f t="shared" si="38"/>
        <v>0</v>
      </c>
      <c r="K562" s="14" t="str">
        <f t="shared" si="35"/>
        <v>0 (0)</v>
      </c>
      <c r="L562" s="14" t="str">
        <f t="shared" si="36"/>
        <v>0.00 (0.00)</v>
      </c>
    </row>
    <row r="563" spans="9:12" x14ac:dyDescent="0.25">
      <c r="I563" s="13" t="str">
        <f t="shared" si="37"/>
        <v/>
      </c>
      <c r="J563" s="13">
        <f t="shared" si="38"/>
        <v>0</v>
      </c>
      <c r="K563" s="14" t="str">
        <f t="shared" si="35"/>
        <v>0 (0)</v>
      </c>
      <c r="L563" s="14" t="str">
        <f t="shared" si="36"/>
        <v>0.00 (0.00)</v>
      </c>
    </row>
    <row r="564" spans="9:12" x14ac:dyDescent="0.25">
      <c r="I564" s="13" t="str">
        <f t="shared" si="37"/>
        <v/>
      </c>
      <c r="J564" s="13">
        <f t="shared" si="38"/>
        <v>0</v>
      </c>
      <c r="K564" s="14" t="str">
        <f t="shared" si="35"/>
        <v>0 (0)</v>
      </c>
      <c r="L564" s="14" t="str">
        <f t="shared" si="36"/>
        <v>0.00 (0.00)</v>
      </c>
    </row>
    <row r="565" spans="9:12" x14ac:dyDescent="0.25">
      <c r="I565" s="13" t="str">
        <f t="shared" si="37"/>
        <v/>
      </c>
      <c r="J565" s="13">
        <f t="shared" si="38"/>
        <v>0</v>
      </c>
      <c r="K565" s="14" t="str">
        <f t="shared" si="35"/>
        <v>0 (0)</v>
      </c>
      <c r="L565" s="14" t="str">
        <f t="shared" si="36"/>
        <v>0.00 (0.00)</v>
      </c>
    </row>
    <row r="566" spans="9:12" x14ac:dyDescent="0.25">
      <c r="I566" s="13" t="str">
        <f t="shared" si="37"/>
        <v/>
      </c>
      <c r="J566" s="13">
        <f t="shared" si="38"/>
        <v>0</v>
      </c>
      <c r="K566" s="14" t="str">
        <f t="shared" si="35"/>
        <v>0 (0)</v>
      </c>
      <c r="L566" s="14" t="str">
        <f t="shared" si="36"/>
        <v>0.00 (0.00)</v>
      </c>
    </row>
    <row r="567" spans="9:12" x14ac:dyDescent="0.25">
      <c r="I567" s="13" t="str">
        <f t="shared" si="37"/>
        <v/>
      </c>
      <c r="J567" s="13">
        <f t="shared" si="38"/>
        <v>0</v>
      </c>
      <c r="K567" s="14" t="str">
        <f t="shared" si="35"/>
        <v>0 (0)</v>
      </c>
      <c r="L567" s="14" t="str">
        <f t="shared" si="36"/>
        <v>0.00 (0.00)</v>
      </c>
    </row>
    <row r="568" spans="9:12" x14ac:dyDescent="0.25">
      <c r="I568" s="13" t="str">
        <f t="shared" si="37"/>
        <v/>
      </c>
      <c r="J568" s="13">
        <f t="shared" si="38"/>
        <v>0</v>
      </c>
      <c r="K568" s="14" t="str">
        <f t="shared" si="35"/>
        <v>0 (0)</v>
      </c>
      <c r="L568" s="14" t="str">
        <f t="shared" si="36"/>
        <v>0.00 (0.00)</v>
      </c>
    </row>
    <row r="569" spans="9:12" x14ac:dyDescent="0.25">
      <c r="I569" s="13" t="str">
        <f t="shared" si="37"/>
        <v/>
      </c>
      <c r="J569" s="13">
        <f t="shared" si="38"/>
        <v>0</v>
      </c>
      <c r="K569" s="14" t="str">
        <f t="shared" si="35"/>
        <v>0 (0)</v>
      </c>
      <c r="L569" s="14" t="str">
        <f t="shared" si="36"/>
        <v>0.00 (0.00)</v>
      </c>
    </row>
    <row r="570" spans="9:12" x14ac:dyDescent="0.25">
      <c r="I570" s="13" t="str">
        <f t="shared" si="37"/>
        <v/>
      </c>
      <c r="J570" s="13">
        <f t="shared" si="38"/>
        <v>0</v>
      </c>
      <c r="K570" s="14" t="str">
        <f t="shared" si="35"/>
        <v>0 (0)</v>
      </c>
      <c r="L570" s="14" t="str">
        <f t="shared" si="36"/>
        <v>0.00 (0.00)</v>
      </c>
    </row>
    <row r="571" spans="9:12" x14ac:dyDescent="0.25">
      <c r="I571" s="13" t="str">
        <f t="shared" si="37"/>
        <v/>
      </c>
      <c r="J571" s="13">
        <f t="shared" si="38"/>
        <v>0</v>
      </c>
      <c r="K571" s="14" t="str">
        <f t="shared" si="35"/>
        <v>0 (0)</v>
      </c>
      <c r="L571" s="14" t="str">
        <f t="shared" si="36"/>
        <v>0.00 (0.00)</v>
      </c>
    </row>
    <row r="572" spans="9:12" x14ac:dyDescent="0.25">
      <c r="I572" s="13" t="str">
        <f t="shared" si="37"/>
        <v/>
      </c>
      <c r="J572" s="13">
        <f t="shared" si="38"/>
        <v>0</v>
      </c>
      <c r="K572" s="14" t="str">
        <f t="shared" si="35"/>
        <v>0 (0)</v>
      </c>
      <c r="L572" s="14" t="str">
        <f t="shared" si="36"/>
        <v>0.00 (0.00)</v>
      </c>
    </row>
    <row r="573" spans="9:12" x14ac:dyDescent="0.25">
      <c r="I573" s="13" t="str">
        <f t="shared" si="37"/>
        <v/>
      </c>
      <c r="J573" s="13">
        <f t="shared" si="38"/>
        <v>0</v>
      </c>
      <c r="K573" s="14" t="str">
        <f t="shared" si="35"/>
        <v>0 (0)</v>
      </c>
      <c r="L573" s="14" t="str">
        <f t="shared" si="36"/>
        <v>0.00 (0.00)</v>
      </c>
    </row>
    <row r="574" spans="9:12" x14ac:dyDescent="0.25">
      <c r="I574" s="13" t="str">
        <f t="shared" si="37"/>
        <v/>
      </c>
      <c r="J574" s="13">
        <f t="shared" si="38"/>
        <v>0</v>
      </c>
      <c r="K574" s="14" t="str">
        <f t="shared" si="35"/>
        <v>0 (0)</v>
      </c>
      <c r="L574" s="14" t="str">
        <f t="shared" si="36"/>
        <v>0.00 (0.00)</v>
      </c>
    </row>
    <row r="575" spans="9:12" x14ac:dyDescent="0.25">
      <c r="I575" s="13" t="str">
        <f t="shared" si="37"/>
        <v/>
      </c>
      <c r="J575" s="13">
        <f t="shared" si="38"/>
        <v>0</v>
      </c>
      <c r="K575" s="14" t="str">
        <f t="shared" si="35"/>
        <v>0 (0)</v>
      </c>
      <c r="L575" s="14" t="str">
        <f t="shared" si="36"/>
        <v>0.00 (0.00)</v>
      </c>
    </row>
    <row r="576" spans="9:12" x14ac:dyDescent="0.25">
      <c r="I576" s="13" t="str">
        <f t="shared" si="37"/>
        <v/>
      </c>
      <c r="J576" s="13">
        <f t="shared" si="38"/>
        <v>0</v>
      </c>
      <c r="K576" s="14" t="str">
        <f t="shared" si="35"/>
        <v>0 (0)</v>
      </c>
      <c r="L576" s="14" t="str">
        <f t="shared" si="36"/>
        <v>0.00 (0.00)</v>
      </c>
    </row>
    <row r="577" spans="9:12" x14ac:dyDescent="0.25">
      <c r="I577" s="13" t="str">
        <f t="shared" si="37"/>
        <v/>
      </c>
      <c r="J577" s="13">
        <f t="shared" si="38"/>
        <v>0</v>
      </c>
      <c r="K577" s="14" t="str">
        <f t="shared" si="35"/>
        <v>0 (0)</v>
      </c>
      <c r="L577" s="14" t="str">
        <f t="shared" si="36"/>
        <v>0.00 (0.00)</v>
      </c>
    </row>
    <row r="578" spans="9:12" x14ac:dyDescent="0.25">
      <c r="I578" s="13" t="str">
        <f t="shared" si="37"/>
        <v/>
      </c>
      <c r="J578" s="13">
        <f t="shared" si="38"/>
        <v>0</v>
      </c>
      <c r="K578" s="14" t="str">
        <f t="shared" si="35"/>
        <v>0 (0)</v>
      </c>
      <c r="L578" s="14" t="str">
        <f t="shared" si="36"/>
        <v>0.00 (0.00)</v>
      </c>
    </row>
    <row r="579" spans="9:12" x14ac:dyDescent="0.25">
      <c r="I579" s="13" t="str">
        <f t="shared" si="37"/>
        <v/>
      </c>
      <c r="J579" s="13">
        <f t="shared" si="38"/>
        <v>0</v>
      </c>
      <c r="K579" s="14" t="str">
        <f t="shared" ref="K579:K582" si="39">TEXT(D579,"0")&amp;" ("&amp;TEXT(E579,"0")&amp;")"</f>
        <v>0 (0)</v>
      </c>
      <c r="L579" s="14" t="str">
        <f t="shared" ref="L579:L582" si="40">TEXT(D579,"0.00")&amp;" ("&amp;TEXT(E579,"0.00")&amp;")"</f>
        <v>0.00 (0.00)</v>
      </c>
    </row>
    <row r="580" spans="9:12" x14ac:dyDescent="0.25">
      <c r="I580" s="13" t="str">
        <f t="shared" ref="I580:I582" si="41">_xlfn.CONCAT(A580:C580)</f>
        <v/>
      </c>
      <c r="J580" s="13">
        <f t="shared" ref="J580:J582" si="42">D580</f>
        <v>0</v>
      </c>
      <c r="K580" s="14" t="str">
        <f t="shared" si="39"/>
        <v>0 (0)</v>
      </c>
      <c r="L580" s="14" t="str">
        <f t="shared" si="40"/>
        <v>0.00 (0.00)</v>
      </c>
    </row>
    <row r="581" spans="9:12" x14ac:dyDescent="0.25">
      <c r="I581" s="13" t="str">
        <f t="shared" si="41"/>
        <v/>
      </c>
      <c r="J581" s="13">
        <f t="shared" si="42"/>
        <v>0</v>
      </c>
      <c r="K581" s="14" t="str">
        <f t="shared" si="39"/>
        <v>0 (0)</v>
      </c>
      <c r="L581" s="14" t="str">
        <f t="shared" si="40"/>
        <v>0.00 (0.00)</v>
      </c>
    </row>
    <row r="582" spans="9:12" x14ac:dyDescent="0.25">
      <c r="I582" s="13" t="str">
        <f t="shared" si="41"/>
        <v/>
      </c>
      <c r="J582" s="13">
        <f t="shared" si="42"/>
        <v>0</v>
      </c>
      <c r="K582" s="14" t="str">
        <f t="shared" si="39"/>
        <v>0 (0)</v>
      </c>
      <c r="L582" s="14" t="str">
        <f t="shared" si="40"/>
        <v>0.00 (0.00)</v>
      </c>
    </row>
    <row r="583" spans="9:12" x14ac:dyDescent="0.25">
      <c r="I583" s="13" t="str">
        <f t="shared" ref="I583:I646" si="43">_xlfn.CONCAT(A583:C583)</f>
        <v/>
      </c>
      <c r="J583" s="13">
        <f t="shared" ref="J583:J646" si="44">D583</f>
        <v>0</v>
      </c>
      <c r="K583" s="14" t="str">
        <f t="shared" ref="K583:K646" si="45">TEXT(D583,"0")&amp;" ("&amp;TEXT(E583,"0")&amp;")"</f>
        <v>0 (0)</v>
      </c>
      <c r="L583" s="14" t="str">
        <f t="shared" ref="L583:L646" si="46">TEXT(D583,"0.00")&amp;" ("&amp;TEXT(E583,"0.00")&amp;")"</f>
        <v>0.00 (0.00)</v>
      </c>
    </row>
    <row r="584" spans="9:12" x14ac:dyDescent="0.25">
      <c r="I584" s="13" t="str">
        <f t="shared" si="43"/>
        <v/>
      </c>
      <c r="J584" s="13">
        <f t="shared" si="44"/>
        <v>0</v>
      </c>
      <c r="K584" s="14" t="str">
        <f t="shared" si="45"/>
        <v>0 (0)</v>
      </c>
      <c r="L584" s="14" t="str">
        <f t="shared" si="46"/>
        <v>0.00 (0.00)</v>
      </c>
    </row>
    <row r="585" spans="9:12" x14ac:dyDescent="0.25">
      <c r="I585" s="13" t="str">
        <f t="shared" si="43"/>
        <v/>
      </c>
      <c r="J585" s="13">
        <f t="shared" si="44"/>
        <v>0</v>
      </c>
      <c r="K585" s="14" t="str">
        <f t="shared" si="45"/>
        <v>0 (0)</v>
      </c>
      <c r="L585" s="14" t="str">
        <f t="shared" si="46"/>
        <v>0.00 (0.00)</v>
      </c>
    </row>
    <row r="586" spans="9:12" x14ac:dyDescent="0.25">
      <c r="I586" s="13" t="str">
        <f t="shared" si="43"/>
        <v/>
      </c>
      <c r="J586" s="13">
        <f t="shared" si="44"/>
        <v>0</v>
      </c>
      <c r="K586" s="14" t="str">
        <f t="shared" si="45"/>
        <v>0 (0)</v>
      </c>
      <c r="L586" s="14" t="str">
        <f t="shared" si="46"/>
        <v>0.00 (0.00)</v>
      </c>
    </row>
    <row r="587" spans="9:12" x14ac:dyDescent="0.25">
      <c r="I587" s="13" t="str">
        <f t="shared" si="43"/>
        <v/>
      </c>
      <c r="J587" s="13">
        <f t="shared" si="44"/>
        <v>0</v>
      </c>
      <c r="K587" s="14" t="str">
        <f t="shared" si="45"/>
        <v>0 (0)</v>
      </c>
      <c r="L587" s="14" t="str">
        <f t="shared" si="46"/>
        <v>0.00 (0.00)</v>
      </c>
    </row>
    <row r="588" spans="9:12" x14ac:dyDescent="0.25">
      <c r="I588" s="13" t="str">
        <f t="shared" si="43"/>
        <v/>
      </c>
      <c r="J588" s="13">
        <f t="shared" si="44"/>
        <v>0</v>
      </c>
      <c r="K588" s="14" t="str">
        <f t="shared" si="45"/>
        <v>0 (0)</v>
      </c>
      <c r="L588" s="14" t="str">
        <f t="shared" si="46"/>
        <v>0.00 (0.00)</v>
      </c>
    </row>
    <row r="589" spans="9:12" x14ac:dyDescent="0.25">
      <c r="I589" s="13" t="str">
        <f t="shared" si="43"/>
        <v/>
      </c>
      <c r="J589" s="13">
        <f t="shared" si="44"/>
        <v>0</v>
      </c>
      <c r="K589" s="14" t="str">
        <f t="shared" si="45"/>
        <v>0 (0)</v>
      </c>
      <c r="L589" s="14" t="str">
        <f t="shared" si="46"/>
        <v>0.00 (0.00)</v>
      </c>
    </row>
    <row r="590" spans="9:12" x14ac:dyDescent="0.25">
      <c r="I590" s="13" t="str">
        <f t="shared" si="43"/>
        <v/>
      </c>
      <c r="J590" s="13">
        <f t="shared" si="44"/>
        <v>0</v>
      </c>
      <c r="K590" s="14" t="str">
        <f t="shared" si="45"/>
        <v>0 (0)</v>
      </c>
      <c r="L590" s="14" t="str">
        <f t="shared" si="46"/>
        <v>0.00 (0.00)</v>
      </c>
    </row>
    <row r="591" spans="9:12" x14ac:dyDescent="0.25">
      <c r="I591" s="13" t="str">
        <f t="shared" si="43"/>
        <v/>
      </c>
      <c r="J591" s="13">
        <f t="shared" si="44"/>
        <v>0</v>
      </c>
      <c r="K591" s="14" t="str">
        <f t="shared" si="45"/>
        <v>0 (0)</v>
      </c>
      <c r="L591" s="14" t="str">
        <f t="shared" si="46"/>
        <v>0.00 (0.00)</v>
      </c>
    </row>
    <row r="592" spans="9:12" x14ac:dyDescent="0.25">
      <c r="I592" s="13" t="str">
        <f t="shared" si="43"/>
        <v/>
      </c>
      <c r="J592" s="13">
        <f t="shared" si="44"/>
        <v>0</v>
      </c>
      <c r="K592" s="14" t="str">
        <f t="shared" si="45"/>
        <v>0 (0)</v>
      </c>
      <c r="L592" s="14" t="str">
        <f t="shared" si="46"/>
        <v>0.00 (0.00)</v>
      </c>
    </row>
    <row r="593" spans="9:12" x14ac:dyDescent="0.25">
      <c r="I593" s="13" t="str">
        <f t="shared" si="43"/>
        <v/>
      </c>
      <c r="J593" s="13">
        <f t="shared" si="44"/>
        <v>0</v>
      </c>
      <c r="K593" s="14" t="str">
        <f t="shared" si="45"/>
        <v>0 (0)</v>
      </c>
      <c r="L593" s="14" t="str">
        <f t="shared" si="46"/>
        <v>0.00 (0.00)</v>
      </c>
    </row>
    <row r="594" spans="9:12" x14ac:dyDescent="0.25">
      <c r="I594" s="13" t="str">
        <f t="shared" si="43"/>
        <v/>
      </c>
      <c r="J594" s="13">
        <f t="shared" si="44"/>
        <v>0</v>
      </c>
      <c r="K594" s="14" t="str">
        <f t="shared" si="45"/>
        <v>0 (0)</v>
      </c>
      <c r="L594" s="14" t="str">
        <f t="shared" si="46"/>
        <v>0.00 (0.00)</v>
      </c>
    </row>
    <row r="595" spans="9:12" x14ac:dyDescent="0.25">
      <c r="I595" s="13" t="str">
        <f t="shared" si="43"/>
        <v/>
      </c>
      <c r="J595" s="13">
        <f t="shared" si="44"/>
        <v>0</v>
      </c>
      <c r="K595" s="14" t="str">
        <f t="shared" si="45"/>
        <v>0 (0)</v>
      </c>
      <c r="L595" s="14" t="str">
        <f t="shared" si="46"/>
        <v>0.00 (0.00)</v>
      </c>
    </row>
    <row r="596" spans="9:12" x14ac:dyDescent="0.25">
      <c r="I596" s="13" t="str">
        <f t="shared" si="43"/>
        <v/>
      </c>
      <c r="J596" s="13">
        <f t="shared" si="44"/>
        <v>0</v>
      </c>
      <c r="K596" s="14" t="str">
        <f t="shared" si="45"/>
        <v>0 (0)</v>
      </c>
      <c r="L596" s="14" t="str">
        <f t="shared" si="46"/>
        <v>0.00 (0.00)</v>
      </c>
    </row>
    <row r="597" spans="9:12" x14ac:dyDescent="0.25">
      <c r="I597" s="13" t="str">
        <f t="shared" si="43"/>
        <v/>
      </c>
      <c r="J597" s="13">
        <f t="shared" si="44"/>
        <v>0</v>
      </c>
      <c r="K597" s="14" t="str">
        <f t="shared" si="45"/>
        <v>0 (0)</v>
      </c>
      <c r="L597" s="14" t="str">
        <f t="shared" si="46"/>
        <v>0.00 (0.00)</v>
      </c>
    </row>
    <row r="598" spans="9:12" x14ac:dyDescent="0.25">
      <c r="I598" s="13" t="str">
        <f t="shared" si="43"/>
        <v/>
      </c>
      <c r="J598" s="13">
        <f t="shared" si="44"/>
        <v>0</v>
      </c>
      <c r="K598" s="14" t="str">
        <f t="shared" si="45"/>
        <v>0 (0)</v>
      </c>
      <c r="L598" s="14" t="str">
        <f t="shared" si="46"/>
        <v>0.00 (0.00)</v>
      </c>
    </row>
    <row r="599" spans="9:12" x14ac:dyDescent="0.25">
      <c r="I599" s="13" t="str">
        <f t="shared" si="43"/>
        <v/>
      </c>
      <c r="J599" s="13">
        <f t="shared" si="44"/>
        <v>0</v>
      </c>
      <c r="K599" s="14" t="str">
        <f t="shared" si="45"/>
        <v>0 (0)</v>
      </c>
      <c r="L599" s="14" t="str">
        <f t="shared" si="46"/>
        <v>0.00 (0.00)</v>
      </c>
    </row>
    <row r="600" spans="9:12" x14ac:dyDescent="0.25">
      <c r="I600" s="13" t="str">
        <f t="shared" si="43"/>
        <v/>
      </c>
      <c r="J600" s="13">
        <f t="shared" si="44"/>
        <v>0</v>
      </c>
      <c r="K600" s="14" t="str">
        <f t="shared" si="45"/>
        <v>0 (0)</v>
      </c>
      <c r="L600" s="14" t="str">
        <f t="shared" si="46"/>
        <v>0.00 (0.00)</v>
      </c>
    </row>
    <row r="601" spans="9:12" x14ac:dyDescent="0.25">
      <c r="I601" s="13" t="str">
        <f t="shared" si="43"/>
        <v/>
      </c>
      <c r="J601" s="13">
        <f t="shared" si="44"/>
        <v>0</v>
      </c>
      <c r="K601" s="14" t="str">
        <f t="shared" si="45"/>
        <v>0 (0)</v>
      </c>
      <c r="L601" s="14" t="str">
        <f t="shared" si="46"/>
        <v>0.00 (0.00)</v>
      </c>
    </row>
    <row r="602" spans="9:12" x14ac:dyDescent="0.25">
      <c r="I602" s="13" t="str">
        <f t="shared" si="43"/>
        <v/>
      </c>
      <c r="J602" s="13">
        <f t="shared" si="44"/>
        <v>0</v>
      </c>
      <c r="K602" s="14" t="str">
        <f t="shared" si="45"/>
        <v>0 (0)</v>
      </c>
      <c r="L602" s="14" t="str">
        <f t="shared" si="46"/>
        <v>0.00 (0.00)</v>
      </c>
    </row>
    <row r="603" spans="9:12" x14ac:dyDescent="0.25">
      <c r="I603" s="13" t="str">
        <f t="shared" si="43"/>
        <v/>
      </c>
      <c r="J603" s="13">
        <f t="shared" si="44"/>
        <v>0</v>
      </c>
      <c r="K603" s="14" t="str">
        <f t="shared" si="45"/>
        <v>0 (0)</v>
      </c>
      <c r="L603" s="14" t="str">
        <f t="shared" si="46"/>
        <v>0.00 (0.00)</v>
      </c>
    </row>
    <row r="604" spans="9:12" x14ac:dyDescent="0.25">
      <c r="I604" s="13" t="str">
        <f t="shared" si="43"/>
        <v/>
      </c>
      <c r="J604" s="13">
        <f t="shared" si="44"/>
        <v>0</v>
      </c>
      <c r="K604" s="14" t="str">
        <f t="shared" si="45"/>
        <v>0 (0)</v>
      </c>
      <c r="L604" s="14" t="str">
        <f t="shared" si="46"/>
        <v>0.00 (0.00)</v>
      </c>
    </row>
    <row r="605" spans="9:12" x14ac:dyDescent="0.25">
      <c r="I605" s="13" t="str">
        <f t="shared" si="43"/>
        <v/>
      </c>
      <c r="J605" s="13">
        <f t="shared" si="44"/>
        <v>0</v>
      </c>
      <c r="K605" s="14" t="str">
        <f t="shared" si="45"/>
        <v>0 (0)</v>
      </c>
      <c r="L605" s="14" t="str">
        <f t="shared" si="46"/>
        <v>0.00 (0.00)</v>
      </c>
    </row>
    <row r="606" spans="9:12" x14ac:dyDescent="0.25">
      <c r="I606" s="13" t="str">
        <f t="shared" si="43"/>
        <v/>
      </c>
      <c r="J606" s="13">
        <f t="shared" si="44"/>
        <v>0</v>
      </c>
      <c r="K606" s="14" t="str">
        <f t="shared" si="45"/>
        <v>0 (0)</v>
      </c>
      <c r="L606" s="14" t="str">
        <f t="shared" si="46"/>
        <v>0.00 (0.00)</v>
      </c>
    </row>
    <row r="607" spans="9:12" x14ac:dyDescent="0.25">
      <c r="I607" s="13" t="str">
        <f t="shared" si="43"/>
        <v/>
      </c>
      <c r="J607" s="13">
        <f t="shared" si="44"/>
        <v>0</v>
      </c>
      <c r="K607" s="14" t="str">
        <f t="shared" si="45"/>
        <v>0 (0)</v>
      </c>
      <c r="L607" s="14" t="str">
        <f t="shared" si="46"/>
        <v>0.00 (0.00)</v>
      </c>
    </row>
    <row r="608" spans="9:12" x14ac:dyDescent="0.25">
      <c r="I608" s="13" t="str">
        <f t="shared" si="43"/>
        <v/>
      </c>
      <c r="J608" s="13">
        <f t="shared" si="44"/>
        <v>0</v>
      </c>
      <c r="K608" s="14" t="str">
        <f t="shared" si="45"/>
        <v>0 (0)</v>
      </c>
      <c r="L608" s="14" t="str">
        <f t="shared" si="46"/>
        <v>0.00 (0.00)</v>
      </c>
    </row>
    <row r="609" spans="9:12" x14ac:dyDescent="0.25">
      <c r="I609" s="13" t="str">
        <f t="shared" si="43"/>
        <v/>
      </c>
      <c r="J609" s="13">
        <f t="shared" si="44"/>
        <v>0</v>
      </c>
      <c r="K609" s="14" t="str">
        <f t="shared" si="45"/>
        <v>0 (0)</v>
      </c>
      <c r="L609" s="14" t="str">
        <f t="shared" si="46"/>
        <v>0.00 (0.00)</v>
      </c>
    </row>
    <row r="610" spans="9:12" x14ac:dyDescent="0.25">
      <c r="I610" s="13" t="str">
        <f t="shared" si="43"/>
        <v/>
      </c>
      <c r="J610" s="13">
        <f t="shared" si="44"/>
        <v>0</v>
      </c>
      <c r="K610" s="14" t="str">
        <f t="shared" si="45"/>
        <v>0 (0)</v>
      </c>
      <c r="L610" s="14" t="str">
        <f t="shared" si="46"/>
        <v>0.00 (0.00)</v>
      </c>
    </row>
    <row r="611" spans="9:12" x14ac:dyDescent="0.25">
      <c r="I611" s="13" t="str">
        <f t="shared" si="43"/>
        <v/>
      </c>
      <c r="J611" s="13">
        <f t="shared" si="44"/>
        <v>0</v>
      </c>
      <c r="K611" s="14" t="str">
        <f t="shared" si="45"/>
        <v>0 (0)</v>
      </c>
      <c r="L611" s="14" t="str">
        <f t="shared" si="46"/>
        <v>0.00 (0.00)</v>
      </c>
    </row>
    <row r="612" spans="9:12" x14ac:dyDescent="0.25">
      <c r="I612" s="13" t="str">
        <f t="shared" si="43"/>
        <v/>
      </c>
      <c r="J612" s="13">
        <f t="shared" si="44"/>
        <v>0</v>
      </c>
      <c r="K612" s="14" t="str">
        <f t="shared" si="45"/>
        <v>0 (0)</v>
      </c>
      <c r="L612" s="14" t="str">
        <f t="shared" si="46"/>
        <v>0.00 (0.00)</v>
      </c>
    </row>
    <row r="613" spans="9:12" x14ac:dyDescent="0.25">
      <c r="I613" s="13" t="str">
        <f t="shared" si="43"/>
        <v/>
      </c>
      <c r="J613" s="13">
        <f t="shared" si="44"/>
        <v>0</v>
      </c>
      <c r="K613" s="14" t="str">
        <f t="shared" si="45"/>
        <v>0 (0)</v>
      </c>
      <c r="L613" s="14" t="str">
        <f t="shared" si="46"/>
        <v>0.00 (0.00)</v>
      </c>
    </row>
    <row r="614" spans="9:12" x14ac:dyDescent="0.25">
      <c r="I614" s="13" t="str">
        <f t="shared" si="43"/>
        <v/>
      </c>
      <c r="J614" s="13">
        <f t="shared" si="44"/>
        <v>0</v>
      </c>
      <c r="K614" s="14" t="str">
        <f t="shared" si="45"/>
        <v>0 (0)</v>
      </c>
      <c r="L614" s="14" t="str">
        <f t="shared" si="46"/>
        <v>0.00 (0.00)</v>
      </c>
    </row>
    <row r="615" spans="9:12" x14ac:dyDescent="0.25">
      <c r="I615" s="13" t="str">
        <f t="shared" si="43"/>
        <v/>
      </c>
      <c r="J615" s="13">
        <f t="shared" si="44"/>
        <v>0</v>
      </c>
      <c r="K615" s="14" t="str">
        <f t="shared" si="45"/>
        <v>0 (0)</v>
      </c>
      <c r="L615" s="14" t="str">
        <f t="shared" si="46"/>
        <v>0.00 (0.00)</v>
      </c>
    </row>
    <row r="616" spans="9:12" x14ac:dyDescent="0.25">
      <c r="I616" s="13" t="str">
        <f t="shared" si="43"/>
        <v/>
      </c>
      <c r="J616" s="13">
        <f t="shared" si="44"/>
        <v>0</v>
      </c>
      <c r="K616" s="14" t="str">
        <f t="shared" si="45"/>
        <v>0 (0)</v>
      </c>
      <c r="L616" s="14" t="str">
        <f t="shared" si="46"/>
        <v>0.00 (0.00)</v>
      </c>
    </row>
    <row r="617" spans="9:12" x14ac:dyDescent="0.25">
      <c r="I617" s="13" t="str">
        <f t="shared" si="43"/>
        <v/>
      </c>
      <c r="J617" s="13">
        <f t="shared" si="44"/>
        <v>0</v>
      </c>
      <c r="K617" s="14" t="str">
        <f t="shared" si="45"/>
        <v>0 (0)</v>
      </c>
      <c r="L617" s="14" t="str">
        <f t="shared" si="46"/>
        <v>0.00 (0.00)</v>
      </c>
    </row>
    <row r="618" spans="9:12" x14ac:dyDescent="0.25">
      <c r="I618" s="13" t="str">
        <f t="shared" si="43"/>
        <v/>
      </c>
      <c r="J618" s="13">
        <f t="shared" si="44"/>
        <v>0</v>
      </c>
      <c r="K618" s="14" t="str">
        <f t="shared" si="45"/>
        <v>0 (0)</v>
      </c>
      <c r="L618" s="14" t="str">
        <f t="shared" si="46"/>
        <v>0.00 (0.00)</v>
      </c>
    </row>
    <row r="619" spans="9:12" x14ac:dyDescent="0.25">
      <c r="I619" s="13" t="str">
        <f t="shared" si="43"/>
        <v/>
      </c>
      <c r="J619" s="13">
        <f t="shared" si="44"/>
        <v>0</v>
      </c>
      <c r="K619" s="14" t="str">
        <f t="shared" si="45"/>
        <v>0 (0)</v>
      </c>
      <c r="L619" s="14" t="str">
        <f t="shared" si="46"/>
        <v>0.00 (0.00)</v>
      </c>
    </row>
    <row r="620" spans="9:12" x14ac:dyDescent="0.25">
      <c r="I620" s="13" t="str">
        <f t="shared" si="43"/>
        <v/>
      </c>
      <c r="J620" s="13">
        <f t="shared" si="44"/>
        <v>0</v>
      </c>
      <c r="K620" s="14" t="str">
        <f t="shared" si="45"/>
        <v>0 (0)</v>
      </c>
      <c r="L620" s="14" t="str">
        <f t="shared" si="46"/>
        <v>0.00 (0.00)</v>
      </c>
    </row>
    <row r="621" spans="9:12" x14ac:dyDescent="0.25">
      <c r="I621" s="13" t="str">
        <f t="shared" si="43"/>
        <v/>
      </c>
      <c r="J621" s="13">
        <f t="shared" si="44"/>
        <v>0</v>
      </c>
      <c r="K621" s="14" t="str">
        <f t="shared" si="45"/>
        <v>0 (0)</v>
      </c>
      <c r="L621" s="14" t="str">
        <f t="shared" si="46"/>
        <v>0.00 (0.00)</v>
      </c>
    </row>
    <row r="622" spans="9:12" x14ac:dyDescent="0.25">
      <c r="I622" s="13" t="str">
        <f t="shared" si="43"/>
        <v/>
      </c>
      <c r="J622" s="13">
        <f t="shared" si="44"/>
        <v>0</v>
      </c>
      <c r="K622" s="14" t="str">
        <f t="shared" si="45"/>
        <v>0 (0)</v>
      </c>
      <c r="L622" s="14" t="str">
        <f t="shared" si="46"/>
        <v>0.00 (0.00)</v>
      </c>
    </row>
    <row r="623" spans="9:12" x14ac:dyDescent="0.25">
      <c r="I623" s="13" t="str">
        <f t="shared" si="43"/>
        <v/>
      </c>
      <c r="J623" s="13">
        <f t="shared" si="44"/>
        <v>0</v>
      </c>
      <c r="K623" s="14" t="str">
        <f t="shared" si="45"/>
        <v>0 (0)</v>
      </c>
      <c r="L623" s="14" t="str">
        <f t="shared" si="46"/>
        <v>0.00 (0.00)</v>
      </c>
    </row>
    <row r="624" spans="9:12" x14ac:dyDescent="0.25">
      <c r="I624" s="13" t="str">
        <f t="shared" si="43"/>
        <v/>
      </c>
      <c r="J624" s="13">
        <f t="shared" si="44"/>
        <v>0</v>
      </c>
      <c r="K624" s="14" t="str">
        <f t="shared" si="45"/>
        <v>0 (0)</v>
      </c>
      <c r="L624" s="14" t="str">
        <f t="shared" si="46"/>
        <v>0.00 (0.00)</v>
      </c>
    </row>
    <row r="625" spans="9:12" x14ac:dyDescent="0.25">
      <c r="I625" s="13" t="str">
        <f t="shared" si="43"/>
        <v/>
      </c>
      <c r="J625" s="13">
        <f t="shared" si="44"/>
        <v>0</v>
      </c>
      <c r="K625" s="14" t="str">
        <f t="shared" si="45"/>
        <v>0 (0)</v>
      </c>
      <c r="L625" s="14" t="str">
        <f t="shared" si="46"/>
        <v>0.00 (0.00)</v>
      </c>
    </row>
    <row r="626" spans="9:12" x14ac:dyDescent="0.25">
      <c r="I626" s="13" t="str">
        <f t="shared" si="43"/>
        <v/>
      </c>
      <c r="J626" s="13">
        <f t="shared" si="44"/>
        <v>0</v>
      </c>
      <c r="K626" s="14" t="str">
        <f t="shared" si="45"/>
        <v>0 (0)</v>
      </c>
      <c r="L626" s="14" t="str">
        <f t="shared" si="46"/>
        <v>0.00 (0.00)</v>
      </c>
    </row>
    <row r="627" spans="9:12" x14ac:dyDescent="0.25">
      <c r="I627" s="13" t="str">
        <f t="shared" si="43"/>
        <v/>
      </c>
      <c r="J627" s="13">
        <f t="shared" si="44"/>
        <v>0</v>
      </c>
      <c r="K627" s="14" t="str">
        <f t="shared" si="45"/>
        <v>0 (0)</v>
      </c>
      <c r="L627" s="14" t="str">
        <f t="shared" si="46"/>
        <v>0.00 (0.00)</v>
      </c>
    </row>
    <row r="628" spans="9:12" x14ac:dyDescent="0.25">
      <c r="I628" s="13" t="str">
        <f t="shared" si="43"/>
        <v/>
      </c>
      <c r="J628" s="13">
        <f t="shared" si="44"/>
        <v>0</v>
      </c>
      <c r="K628" s="14" t="str">
        <f t="shared" si="45"/>
        <v>0 (0)</v>
      </c>
      <c r="L628" s="14" t="str">
        <f t="shared" si="46"/>
        <v>0.00 (0.00)</v>
      </c>
    </row>
    <row r="629" spans="9:12" x14ac:dyDescent="0.25">
      <c r="I629" s="13" t="str">
        <f t="shared" si="43"/>
        <v/>
      </c>
      <c r="J629" s="13">
        <f t="shared" si="44"/>
        <v>0</v>
      </c>
      <c r="K629" s="14" t="str">
        <f t="shared" si="45"/>
        <v>0 (0)</v>
      </c>
      <c r="L629" s="14" t="str">
        <f t="shared" si="46"/>
        <v>0.00 (0.00)</v>
      </c>
    </row>
    <row r="630" spans="9:12" x14ac:dyDescent="0.25">
      <c r="I630" s="13" t="str">
        <f t="shared" si="43"/>
        <v/>
      </c>
      <c r="J630" s="13">
        <f t="shared" si="44"/>
        <v>0</v>
      </c>
      <c r="K630" s="14" t="str">
        <f t="shared" si="45"/>
        <v>0 (0)</v>
      </c>
      <c r="L630" s="14" t="str">
        <f t="shared" si="46"/>
        <v>0.00 (0.00)</v>
      </c>
    </row>
    <row r="631" spans="9:12" x14ac:dyDescent="0.25">
      <c r="I631" s="13" t="str">
        <f t="shared" si="43"/>
        <v/>
      </c>
      <c r="J631" s="13">
        <f t="shared" si="44"/>
        <v>0</v>
      </c>
      <c r="K631" s="14" t="str">
        <f t="shared" si="45"/>
        <v>0 (0)</v>
      </c>
      <c r="L631" s="14" t="str">
        <f t="shared" si="46"/>
        <v>0.00 (0.00)</v>
      </c>
    </row>
    <row r="632" spans="9:12" x14ac:dyDescent="0.25">
      <c r="I632" s="13" t="str">
        <f t="shared" si="43"/>
        <v/>
      </c>
      <c r="J632" s="13">
        <f t="shared" si="44"/>
        <v>0</v>
      </c>
      <c r="K632" s="14" t="str">
        <f t="shared" si="45"/>
        <v>0 (0)</v>
      </c>
      <c r="L632" s="14" t="str">
        <f t="shared" si="46"/>
        <v>0.00 (0.00)</v>
      </c>
    </row>
    <row r="633" spans="9:12" x14ac:dyDescent="0.25">
      <c r="I633" s="13" t="str">
        <f t="shared" si="43"/>
        <v/>
      </c>
      <c r="J633" s="13">
        <f t="shared" si="44"/>
        <v>0</v>
      </c>
      <c r="K633" s="14" t="str">
        <f t="shared" si="45"/>
        <v>0 (0)</v>
      </c>
      <c r="L633" s="14" t="str">
        <f t="shared" si="46"/>
        <v>0.00 (0.00)</v>
      </c>
    </row>
    <row r="634" spans="9:12" x14ac:dyDescent="0.25">
      <c r="I634" s="13" t="str">
        <f t="shared" si="43"/>
        <v/>
      </c>
      <c r="J634" s="13">
        <f t="shared" si="44"/>
        <v>0</v>
      </c>
      <c r="K634" s="14" t="str">
        <f t="shared" si="45"/>
        <v>0 (0)</v>
      </c>
      <c r="L634" s="14" t="str">
        <f t="shared" si="46"/>
        <v>0.00 (0.00)</v>
      </c>
    </row>
    <row r="635" spans="9:12" x14ac:dyDescent="0.25">
      <c r="I635" s="13" t="str">
        <f t="shared" si="43"/>
        <v/>
      </c>
      <c r="J635" s="13">
        <f t="shared" si="44"/>
        <v>0</v>
      </c>
      <c r="K635" s="14" t="str">
        <f t="shared" si="45"/>
        <v>0 (0)</v>
      </c>
      <c r="L635" s="14" t="str">
        <f t="shared" si="46"/>
        <v>0.00 (0.00)</v>
      </c>
    </row>
    <row r="636" spans="9:12" x14ac:dyDescent="0.25">
      <c r="I636" s="13" t="str">
        <f t="shared" si="43"/>
        <v/>
      </c>
      <c r="J636" s="13">
        <f t="shared" si="44"/>
        <v>0</v>
      </c>
      <c r="K636" s="14" t="str">
        <f t="shared" si="45"/>
        <v>0 (0)</v>
      </c>
      <c r="L636" s="14" t="str">
        <f t="shared" si="46"/>
        <v>0.00 (0.00)</v>
      </c>
    </row>
    <row r="637" spans="9:12" x14ac:dyDescent="0.25">
      <c r="I637" s="13" t="str">
        <f t="shared" si="43"/>
        <v/>
      </c>
      <c r="J637" s="13">
        <f t="shared" si="44"/>
        <v>0</v>
      </c>
      <c r="K637" s="14" t="str">
        <f t="shared" si="45"/>
        <v>0 (0)</v>
      </c>
      <c r="L637" s="14" t="str">
        <f t="shared" si="46"/>
        <v>0.00 (0.00)</v>
      </c>
    </row>
    <row r="638" spans="9:12" x14ac:dyDescent="0.25">
      <c r="I638" s="13" t="str">
        <f t="shared" si="43"/>
        <v/>
      </c>
      <c r="J638" s="13">
        <f t="shared" si="44"/>
        <v>0</v>
      </c>
      <c r="K638" s="14" t="str">
        <f t="shared" si="45"/>
        <v>0 (0)</v>
      </c>
      <c r="L638" s="14" t="str">
        <f t="shared" si="46"/>
        <v>0.00 (0.00)</v>
      </c>
    </row>
    <row r="639" spans="9:12" x14ac:dyDescent="0.25">
      <c r="I639" s="13" t="str">
        <f t="shared" si="43"/>
        <v/>
      </c>
      <c r="J639" s="13">
        <f t="shared" si="44"/>
        <v>0</v>
      </c>
      <c r="K639" s="14" t="str">
        <f t="shared" si="45"/>
        <v>0 (0)</v>
      </c>
      <c r="L639" s="14" t="str">
        <f t="shared" si="46"/>
        <v>0.00 (0.00)</v>
      </c>
    </row>
    <row r="640" spans="9:12" x14ac:dyDescent="0.25">
      <c r="I640" s="13" t="str">
        <f t="shared" si="43"/>
        <v/>
      </c>
      <c r="J640" s="13">
        <f t="shared" si="44"/>
        <v>0</v>
      </c>
      <c r="K640" s="14" t="str">
        <f t="shared" si="45"/>
        <v>0 (0)</v>
      </c>
      <c r="L640" s="14" t="str">
        <f t="shared" si="46"/>
        <v>0.00 (0.00)</v>
      </c>
    </row>
    <row r="641" spans="9:12" x14ac:dyDescent="0.25">
      <c r="I641" s="13" t="str">
        <f t="shared" si="43"/>
        <v/>
      </c>
      <c r="J641" s="13">
        <f t="shared" si="44"/>
        <v>0</v>
      </c>
      <c r="K641" s="14" t="str">
        <f t="shared" si="45"/>
        <v>0 (0)</v>
      </c>
      <c r="L641" s="14" t="str">
        <f t="shared" si="46"/>
        <v>0.00 (0.00)</v>
      </c>
    </row>
    <row r="642" spans="9:12" x14ac:dyDescent="0.25">
      <c r="I642" s="13" t="str">
        <f t="shared" si="43"/>
        <v/>
      </c>
      <c r="J642" s="13">
        <f t="shared" si="44"/>
        <v>0</v>
      </c>
      <c r="K642" s="14" t="str">
        <f t="shared" si="45"/>
        <v>0 (0)</v>
      </c>
      <c r="L642" s="14" t="str">
        <f t="shared" si="46"/>
        <v>0.00 (0.00)</v>
      </c>
    </row>
    <row r="643" spans="9:12" x14ac:dyDescent="0.25">
      <c r="I643" s="13" t="str">
        <f t="shared" si="43"/>
        <v/>
      </c>
      <c r="J643" s="13">
        <f t="shared" si="44"/>
        <v>0</v>
      </c>
      <c r="K643" s="14" t="str">
        <f t="shared" si="45"/>
        <v>0 (0)</v>
      </c>
      <c r="L643" s="14" t="str">
        <f t="shared" si="46"/>
        <v>0.00 (0.00)</v>
      </c>
    </row>
    <row r="644" spans="9:12" x14ac:dyDescent="0.25">
      <c r="I644" s="13" t="str">
        <f t="shared" si="43"/>
        <v/>
      </c>
      <c r="J644" s="13">
        <f t="shared" si="44"/>
        <v>0</v>
      </c>
      <c r="K644" s="14" t="str">
        <f t="shared" si="45"/>
        <v>0 (0)</v>
      </c>
      <c r="L644" s="14" t="str">
        <f t="shared" si="46"/>
        <v>0.00 (0.00)</v>
      </c>
    </row>
    <row r="645" spans="9:12" x14ac:dyDescent="0.25">
      <c r="I645" s="13" t="str">
        <f t="shared" si="43"/>
        <v/>
      </c>
      <c r="J645" s="13">
        <f t="shared" si="44"/>
        <v>0</v>
      </c>
      <c r="K645" s="14" t="str">
        <f t="shared" si="45"/>
        <v>0 (0)</v>
      </c>
      <c r="L645" s="14" t="str">
        <f t="shared" si="46"/>
        <v>0.00 (0.00)</v>
      </c>
    </row>
    <row r="646" spans="9:12" x14ac:dyDescent="0.25">
      <c r="I646" s="13" t="str">
        <f t="shared" si="43"/>
        <v/>
      </c>
      <c r="J646" s="13">
        <f t="shared" si="44"/>
        <v>0</v>
      </c>
      <c r="K646" s="14" t="str">
        <f t="shared" si="45"/>
        <v>0 (0)</v>
      </c>
      <c r="L646" s="14" t="str">
        <f t="shared" si="46"/>
        <v>0.00 (0.00)</v>
      </c>
    </row>
    <row r="647" spans="9:12" x14ac:dyDescent="0.25">
      <c r="I647" s="13" t="str">
        <f t="shared" ref="I647:I710" si="47">_xlfn.CONCAT(A647:C647)</f>
        <v/>
      </c>
      <c r="J647" s="13">
        <f t="shared" ref="J647:J710" si="48">D647</f>
        <v>0</v>
      </c>
      <c r="K647" s="14" t="str">
        <f t="shared" ref="K647:K710" si="49">TEXT(D647,"0")&amp;" ("&amp;TEXT(E647,"0")&amp;")"</f>
        <v>0 (0)</v>
      </c>
      <c r="L647" s="14" t="str">
        <f t="shared" ref="L647:L710" si="50">TEXT(D647,"0.00")&amp;" ("&amp;TEXT(E647,"0.00")&amp;")"</f>
        <v>0.00 (0.00)</v>
      </c>
    </row>
    <row r="648" spans="9:12" x14ac:dyDescent="0.25">
      <c r="I648" s="13" t="str">
        <f t="shared" si="47"/>
        <v/>
      </c>
      <c r="J648" s="13">
        <f t="shared" si="48"/>
        <v>0</v>
      </c>
      <c r="K648" s="14" t="str">
        <f t="shared" si="49"/>
        <v>0 (0)</v>
      </c>
      <c r="L648" s="14" t="str">
        <f t="shared" si="50"/>
        <v>0.00 (0.00)</v>
      </c>
    </row>
    <row r="649" spans="9:12" x14ac:dyDescent="0.25">
      <c r="I649" s="13" t="str">
        <f t="shared" si="47"/>
        <v/>
      </c>
      <c r="J649" s="13">
        <f t="shared" si="48"/>
        <v>0</v>
      </c>
      <c r="K649" s="14" t="str">
        <f t="shared" si="49"/>
        <v>0 (0)</v>
      </c>
      <c r="L649" s="14" t="str">
        <f t="shared" si="50"/>
        <v>0.00 (0.00)</v>
      </c>
    </row>
    <row r="650" spans="9:12" x14ac:dyDescent="0.25">
      <c r="I650" s="13" t="str">
        <f t="shared" si="47"/>
        <v/>
      </c>
      <c r="J650" s="13">
        <f t="shared" si="48"/>
        <v>0</v>
      </c>
      <c r="K650" s="14" t="str">
        <f t="shared" si="49"/>
        <v>0 (0)</v>
      </c>
      <c r="L650" s="14" t="str">
        <f t="shared" si="50"/>
        <v>0.00 (0.00)</v>
      </c>
    </row>
    <row r="651" spans="9:12" x14ac:dyDescent="0.25">
      <c r="I651" s="13" t="str">
        <f t="shared" si="47"/>
        <v/>
      </c>
      <c r="J651" s="13">
        <f t="shared" si="48"/>
        <v>0</v>
      </c>
      <c r="K651" s="14" t="str">
        <f t="shared" si="49"/>
        <v>0 (0)</v>
      </c>
      <c r="L651" s="14" t="str">
        <f t="shared" si="50"/>
        <v>0.00 (0.00)</v>
      </c>
    </row>
    <row r="652" spans="9:12" x14ac:dyDescent="0.25">
      <c r="I652" s="13" t="str">
        <f t="shared" si="47"/>
        <v/>
      </c>
      <c r="J652" s="13">
        <f t="shared" si="48"/>
        <v>0</v>
      </c>
      <c r="K652" s="14" t="str">
        <f t="shared" si="49"/>
        <v>0 (0)</v>
      </c>
      <c r="L652" s="14" t="str">
        <f t="shared" si="50"/>
        <v>0.00 (0.00)</v>
      </c>
    </row>
    <row r="653" spans="9:12" x14ac:dyDescent="0.25">
      <c r="I653" s="13" t="str">
        <f t="shared" si="47"/>
        <v/>
      </c>
      <c r="J653" s="13">
        <f t="shared" si="48"/>
        <v>0</v>
      </c>
      <c r="K653" s="14" t="str">
        <f t="shared" si="49"/>
        <v>0 (0)</v>
      </c>
      <c r="L653" s="14" t="str">
        <f t="shared" si="50"/>
        <v>0.00 (0.00)</v>
      </c>
    </row>
    <row r="654" spans="9:12" x14ac:dyDescent="0.25">
      <c r="I654" s="13" t="str">
        <f t="shared" si="47"/>
        <v/>
      </c>
      <c r="J654" s="13">
        <f t="shared" si="48"/>
        <v>0</v>
      </c>
      <c r="K654" s="14" t="str">
        <f t="shared" si="49"/>
        <v>0 (0)</v>
      </c>
      <c r="L654" s="14" t="str">
        <f t="shared" si="50"/>
        <v>0.00 (0.00)</v>
      </c>
    </row>
    <row r="655" spans="9:12" x14ac:dyDescent="0.25">
      <c r="I655" s="13" t="str">
        <f t="shared" si="47"/>
        <v/>
      </c>
      <c r="J655" s="13">
        <f t="shared" si="48"/>
        <v>0</v>
      </c>
      <c r="K655" s="14" t="str">
        <f t="shared" si="49"/>
        <v>0 (0)</v>
      </c>
      <c r="L655" s="14" t="str">
        <f t="shared" si="50"/>
        <v>0.00 (0.00)</v>
      </c>
    </row>
    <row r="656" spans="9:12" x14ac:dyDescent="0.25">
      <c r="I656" s="13" t="str">
        <f t="shared" si="47"/>
        <v/>
      </c>
      <c r="J656" s="13">
        <f t="shared" si="48"/>
        <v>0</v>
      </c>
      <c r="K656" s="14" t="str">
        <f t="shared" si="49"/>
        <v>0 (0)</v>
      </c>
      <c r="L656" s="14" t="str">
        <f t="shared" si="50"/>
        <v>0.00 (0.00)</v>
      </c>
    </row>
    <row r="657" spans="9:12" x14ac:dyDescent="0.25">
      <c r="I657" s="13" t="str">
        <f t="shared" si="47"/>
        <v/>
      </c>
      <c r="J657" s="13">
        <f t="shared" si="48"/>
        <v>0</v>
      </c>
      <c r="K657" s="14" t="str">
        <f t="shared" si="49"/>
        <v>0 (0)</v>
      </c>
      <c r="L657" s="14" t="str">
        <f t="shared" si="50"/>
        <v>0.00 (0.00)</v>
      </c>
    </row>
    <row r="658" spans="9:12" x14ac:dyDescent="0.25">
      <c r="I658" s="13" t="str">
        <f t="shared" si="47"/>
        <v/>
      </c>
      <c r="J658" s="13">
        <f t="shared" si="48"/>
        <v>0</v>
      </c>
      <c r="K658" s="14" t="str">
        <f t="shared" si="49"/>
        <v>0 (0)</v>
      </c>
      <c r="L658" s="14" t="str">
        <f t="shared" si="50"/>
        <v>0.00 (0.00)</v>
      </c>
    </row>
    <row r="659" spans="9:12" x14ac:dyDescent="0.25">
      <c r="I659" s="13" t="str">
        <f t="shared" si="47"/>
        <v/>
      </c>
      <c r="J659" s="13">
        <f t="shared" si="48"/>
        <v>0</v>
      </c>
      <c r="K659" s="14" t="str">
        <f t="shared" si="49"/>
        <v>0 (0)</v>
      </c>
      <c r="L659" s="14" t="str">
        <f t="shared" si="50"/>
        <v>0.00 (0.00)</v>
      </c>
    </row>
    <row r="660" spans="9:12" x14ac:dyDescent="0.25">
      <c r="I660" s="13" t="str">
        <f t="shared" si="47"/>
        <v/>
      </c>
      <c r="J660" s="13">
        <f t="shared" si="48"/>
        <v>0</v>
      </c>
      <c r="K660" s="14" t="str">
        <f t="shared" si="49"/>
        <v>0 (0)</v>
      </c>
      <c r="L660" s="14" t="str">
        <f t="shared" si="50"/>
        <v>0.00 (0.00)</v>
      </c>
    </row>
    <row r="661" spans="9:12" x14ac:dyDescent="0.25">
      <c r="I661" s="13" t="str">
        <f t="shared" si="47"/>
        <v/>
      </c>
      <c r="J661" s="13">
        <f t="shared" si="48"/>
        <v>0</v>
      </c>
      <c r="K661" s="14" t="str">
        <f t="shared" si="49"/>
        <v>0 (0)</v>
      </c>
      <c r="L661" s="14" t="str">
        <f t="shared" si="50"/>
        <v>0.00 (0.00)</v>
      </c>
    </row>
    <row r="662" spans="9:12" x14ac:dyDescent="0.25">
      <c r="I662" s="13" t="str">
        <f t="shared" si="47"/>
        <v/>
      </c>
      <c r="J662" s="13">
        <f t="shared" si="48"/>
        <v>0</v>
      </c>
      <c r="K662" s="14" t="str">
        <f t="shared" si="49"/>
        <v>0 (0)</v>
      </c>
      <c r="L662" s="14" t="str">
        <f t="shared" si="50"/>
        <v>0.00 (0.00)</v>
      </c>
    </row>
    <row r="663" spans="9:12" x14ac:dyDescent="0.25">
      <c r="I663" s="13" t="str">
        <f t="shared" si="47"/>
        <v/>
      </c>
      <c r="J663" s="13">
        <f t="shared" si="48"/>
        <v>0</v>
      </c>
      <c r="K663" s="14" t="str">
        <f t="shared" si="49"/>
        <v>0 (0)</v>
      </c>
      <c r="L663" s="14" t="str">
        <f t="shared" si="50"/>
        <v>0.00 (0.00)</v>
      </c>
    </row>
    <row r="664" spans="9:12" x14ac:dyDescent="0.25">
      <c r="I664" s="13" t="str">
        <f t="shared" si="47"/>
        <v/>
      </c>
      <c r="J664" s="13">
        <f t="shared" si="48"/>
        <v>0</v>
      </c>
      <c r="K664" s="14" t="str">
        <f t="shared" si="49"/>
        <v>0 (0)</v>
      </c>
      <c r="L664" s="14" t="str">
        <f t="shared" si="50"/>
        <v>0.00 (0.00)</v>
      </c>
    </row>
    <row r="665" spans="9:12" x14ac:dyDescent="0.25">
      <c r="I665" s="13" t="str">
        <f t="shared" si="47"/>
        <v/>
      </c>
      <c r="J665" s="13">
        <f t="shared" si="48"/>
        <v>0</v>
      </c>
      <c r="K665" s="14" t="str">
        <f t="shared" si="49"/>
        <v>0 (0)</v>
      </c>
      <c r="L665" s="14" t="str">
        <f t="shared" si="50"/>
        <v>0.00 (0.00)</v>
      </c>
    </row>
    <row r="666" spans="9:12" x14ac:dyDescent="0.25">
      <c r="I666" s="13" t="str">
        <f t="shared" si="47"/>
        <v/>
      </c>
      <c r="J666" s="13">
        <f t="shared" si="48"/>
        <v>0</v>
      </c>
      <c r="K666" s="14" t="str">
        <f t="shared" si="49"/>
        <v>0 (0)</v>
      </c>
      <c r="L666" s="14" t="str">
        <f t="shared" si="50"/>
        <v>0.00 (0.00)</v>
      </c>
    </row>
    <row r="667" spans="9:12" x14ac:dyDescent="0.25">
      <c r="I667" s="13" t="str">
        <f t="shared" si="47"/>
        <v/>
      </c>
      <c r="J667" s="13">
        <f t="shared" si="48"/>
        <v>0</v>
      </c>
      <c r="K667" s="14" t="str">
        <f t="shared" si="49"/>
        <v>0 (0)</v>
      </c>
      <c r="L667" s="14" t="str">
        <f t="shared" si="50"/>
        <v>0.00 (0.00)</v>
      </c>
    </row>
    <row r="668" spans="9:12" x14ac:dyDescent="0.25">
      <c r="I668" s="13" t="str">
        <f t="shared" si="47"/>
        <v/>
      </c>
      <c r="J668" s="13">
        <f t="shared" si="48"/>
        <v>0</v>
      </c>
      <c r="K668" s="14" t="str">
        <f t="shared" si="49"/>
        <v>0 (0)</v>
      </c>
      <c r="L668" s="14" t="str">
        <f t="shared" si="50"/>
        <v>0.00 (0.00)</v>
      </c>
    </row>
    <row r="669" spans="9:12" x14ac:dyDescent="0.25">
      <c r="I669" s="13" t="str">
        <f t="shared" si="47"/>
        <v/>
      </c>
      <c r="J669" s="13">
        <f t="shared" si="48"/>
        <v>0</v>
      </c>
      <c r="K669" s="14" t="str">
        <f t="shared" si="49"/>
        <v>0 (0)</v>
      </c>
      <c r="L669" s="14" t="str">
        <f t="shared" si="50"/>
        <v>0.00 (0.00)</v>
      </c>
    </row>
    <row r="670" spans="9:12" x14ac:dyDescent="0.25">
      <c r="I670" s="13" t="str">
        <f t="shared" si="47"/>
        <v/>
      </c>
      <c r="J670" s="13">
        <f t="shared" si="48"/>
        <v>0</v>
      </c>
      <c r="K670" s="14" t="str">
        <f t="shared" si="49"/>
        <v>0 (0)</v>
      </c>
      <c r="L670" s="14" t="str">
        <f t="shared" si="50"/>
        <v>0.00 (0.00)</v>
      </c>
    </row>
    <row r="671" spans="9:12" x14ac:dyDescent="0.25">
      <c r="I671" s="13" t="str">
        <f t="shared" si="47"/>
        <v/>
      </c>
      <c r="J671" s="13">
        <f t="shared" si="48"/>
        <v>0</v>
      </c>
      <c r="K671" s="14" t="str">
        <f t="shared" si="49"/>
        <v>0 (0)</v>
      </c>
      <c r="L671" s="14" t="str">
        <f t="shared" si="50"/>
        <v>0.00 (0.00)</v>
      </c>
    </row>
    <row r="672" spans="9:12" x14ac:dyDescent="0.25">
      <c r="I672" s="13" t="str">
        <f t="shared" si="47"/>
        <v/>
      </c>
      <c r="J672" s="13">
        <f t="shared" si="48"/>
        <v>0</v>
      </c>
      <c r="K672" s="14" t="str">
        <f t="shared" si="49"/>
        <v>0 (0)</v>
      </c>
      <c r="L672" s="14" t="str">
        <f t="shared" si="50"/>
        <v>0.00 (0.00)</v>
      </c>
    </row>
    <row r="673" spans="9:12" x14ac:dyDescent="0.25">
      <c r="I673" s="13" t="str">
        <f t="shared" si="47"/>
        <v/>
      </c>
      <c r="J673" s="13">
        <f t="shared" si="48"/>
        <v>0</v>
      </c>
      <c r="K673" s="14" t="str">
        <f t="shared" si="49"/>
        <v>0 (0)</v>
      </c>
      <c r="L673" s="14" t="str">
        <f t="shared" si="50"/>
        <v>0.00 (0.00)</v>
      </c>
    </row>
    <row r="674" spans="9:12" x14ac:dyDescent="0.25">
      <c r="I674" s="13" t="str">
        <f t="shared" si="47"/>
        <v/>
      </c>
      <c r="J674" s="13">
        <f t="shared" si="48"/>
        <v>0</v>
      </c>
      <c r="K674" s="14" t="str">
        <f t="shared" si="49"/>
        <v>0 (0)</v>
      </c>
      <c r="L674" s="14" t="str">
        <f t="shared" si="50"/>
        <v>0.00 (0.00)</v>
      </c>
    </row>
    <row r="675" spans="9:12" x14ac:dyDescent="0.25">
      <c r="I675" s="13" t="str">
        <f t="shared" si="47"/>
        <v/>
      </c>
      <c r="J675" s="13">
        <f t="shared" si="48"/>
        <v>0</v>
      </c>
      <c r="K675" s="14" t="str">
        <f t="shared" si="49"/>
        <v>0 (0)</v>
      </c>
      <c r="L675" s="14" t="str">
        <f t="shared" si="50"/>
        <v>0.00 (0.00)</v>
      </c>
    </row>
    <row r="676" spans="9:12" x14ac:dyDescent="0.25">
      <c r="I676" s="13" t="str">
        <f t="shared" si="47"/>
        <v/>
      </c>
      <c r="J676" s="13">
        <f t="shared" si="48"/>
        <v>0</v>
      </c>
      <c r="K676" s="14" t="str">
        <f t="shared" si="49"/>
        <v>0 (0)</v>
      </c>
      <c r="L676" s="14" t="str">
        <f t="shared" si="50"/>
        <v>0.00 (0.00)</v>
      </c>
    </row>
    <row r="677" spans="9:12" x14ac:dyDescent="0.25">
      <c r="I677" s="13" t="str">
        <f t="shared" si="47"/>
        <v/>
      </c>
      <c r="J677" s="13">
        <f t="shared" si="48"/>
        <v>0</v>
      </c>
      <c r="K677" s="14" t="str">
        <f t="shared" si="49"/>
        <v>0 (0)</v>
      </c>
      <c r="L677" s="14" t="str">
        <f t="shared" si="50"/>
        <v>0.00 (0.00)</v>
      </c>
    </row>
    <row r="678" spans="9:12" x14ac:dyDescent="0.25">
      <c r="I678" s="13" t="str">
        <f t="shared" si="47"/>
        <v/>
      </c>
      <c r="J678" s="13">
        <f t="shared" si="48"/>
        <v>0</v>
      </c>
      <c r="K678" s="14" t="str">
        <f t="shared" si="49"/>
        <v>0 (0)</v>
      </c>
      <c r="L678" s="14" t="str">
        <f t="shared" si="50"/>
        <v>0.00 (0.00)</v>
      </c>
    </row>
    <row r="679" spans="9:12" x14ac:dyDescent="0.25">
      <c r="I679" s="13" t="str">
        <f t="shared" si="47"/>
        <v/>
      </c>
      <c r="J679" s="13">
        <f t="shared" si="48"/>
        <v>0</v>
      </c>
      <c r="K679" s="14" t="str">
        <f t="shared" si="49"/>
        <v>0 (0)</v>
      </c>
      <c r="L679" s="14" t="str">
        <f t="shared" si="50"/>
        <v>0.00 (0.00)</v>
      </c>
    </row>
    <row r="680" spans="9:12" x14ac:dyDescent="0.25">
      <c r="I680" s="13" t="str">
        <f t="shared" si="47"/>
        <v/>
      </c>
      <c r="J680" s="13">
        <f t="shared" si="48"/>
        <v>0</v>
      </c>
      <c r="K680" s="14" t="str">
        <f t="shared" si="49"/>
        <v>0 (0)</v>
      </c>
      <c r="L680" s="14" t="str">
        <f t="shared" si="50"/>
        <v>0.00 (0.00)</v>
      </c>
    </row>
    <row r="681" spans="9:12" x14ac:dyDescent="0.25">
      <c r="I681" s="13" t="str">
        <f t="shared" si="47"/>
        <v/>
      </c>
      <c r="J681" s="13">
        <f t="shared" si="48"/>
        <v>0</v>
      </c>
      <c r="K681" s="14" t="str">
        <f t="shared" si="49"/>
        <v>0 (0)</v>
      </c>
      <c r="L681" s="14" t="str">
        <f t="shared" si="50"/>
        <v>0.00 (0.00)</v>
      </c>
    </row>
    <row r="682" spans="9:12" x14ac:dyDescent="0.25">
      <c r="I682" s="13" t="str">
        <f t="shared" si="47"/>
        <v/>
      </c>
      <c r="J682" s="13">
        <f t="shared" si="48"/>
        <v>0</v>
      </c>
      <c r="K682" s="14" t="str">
        <f t="shared" si="49"/>
        <v>0 (0)</v>
      </c>
      <c r="L682" s="14" t="str">
        <f t="shared" si="50"/>
        <v>0.00 (0.00)</v>
      </c>
    </row>
    <row r="683" spans="9:12" x14ac:dyDescent="0.25">
      <c r="I683" s="13" t="str">
        <f t="shared" si="47"/>
        <v/>
      </c>
      <c r="J683" s="13">
        <f t="shared" si="48"/>
        <v>0</v>
      </c>
      <c r="K683" s="14" t="str">
        <f t="shared" si="49"/>
        <v>0 (0)</v>
      </c>
      <c r="L683" s="14" t="str">
        <f t="shared" si="50"/>
        <v>0.00 (0.00)</v>
      </c>
    </row>
    <row r="684" spans="9:12" x14ac:dyDescent="0.25">
      <c r="I684" s="13" t="str">
        <f t="shared" si="47"/>
        <v/>
      </c>
      <c r="J684" s="13">
        <f t="shared" si="48"/>
        <v>0</v>
      </c>
      <c r="K684" s="14" t="str">
        <f t="shared" si="49"/>
        <v>0 (0)</v>
      </c>
      <c r="L684" s="14" t="str">
        <f t="shared" si="50"/>
        <v>0.00 (0.00)</v>
      </c>
    </row>
    <row r="685" spans="9:12" x14ac:dyDescent="0.25">
      <c r="I685" s="13" t="str">
        <f t="shared" si="47"/>
        <v/>
      </c>
      <c r="J685" s="13">
        <f t="shared" si="48"/>
        <v>0</v>
      </c>
      <c r="K685" s="14" t="str">
        <f t="shared" si="49"/>
        <v>0 (0)</v>
      </c>
      <c r="L685" s="14" t="str">
        <f t="shared" si="50"/>
        <v>0.00 (0.00)</v>
      </c>
    </row>
    <row r="686" spans="9:12" x14ac:dyDescent="0.25">
      <c r="I686" s="13" t="str">
        <f t="shared" si="47"/>
        <v/>
      </c>
      <c r="J686" s="13">
        <f t="shared" si="48"/>
        <v>0</v>
      </c>
      <c r="K686" s="14" t="str">
        <f t="shared" si="49"/>
        <v>0 (0)</v>
      </c>
      <c r="L686" s="14" t="str">
        <f t="shared" si="50"/>
        <v>0.00 (0.00)</v>
      </c>
    </row>
    <row r="687" spans="9:12" x14ac:dyDescent="0.25">
      <c r="I687" s="13" t="str">
        <f t="shared" si="47"/>
        <v/>
      </c>
      <c r="J687" s="13">
        <f t="shared" si="48"/>
        <v>0</v>
      </c>
      <c r="K687" s="14" t="str">
        <f t="shared" si="49"/>
        <v>0 (0)</v>
      </c>
      <c r="L687" s="14" t="str">
        <f t="shared" si="50"/>
        <v>0.00 (0.00)</v>
      </c>
    </row>
    <row r="688" spans="9:12" x14ac:dyDescent="0.25">
      <c r="I688" s="13" t="str">
        <f t="shared" si="47"/>
        <v/>
      </c>
      <c r="J688" s="13">
        <f t="shared" si="48"/>
        <v>0</v>
      </c>
      <c r="K688" s="14" t="str">
        <f t="shared" si="49"/>
        <v>0 (0)</v>
      </c>
      <c r="L688" s="14" t="str">
        <f t="shared" si="50"/>
        <v>0.00 (0.00)</v>
      </c>
    </row>
    <row r="689" spans="9:12" x14ac:dyDescent="0.25">
      <c r="I689" s="13" t="str">
        <f t="shared" si="47"/>
        <v/>
      </c>
      <c r="J689" s="13">
        <f t="shared" si="48"/>
        <v>0</v>
      </c>
      <c r="K689" s="14" t="str">
        <f t="shared" si="49"/>
        <v>0 (0)</v>
      </c>
      <c r="L689" s="14" t="str">
        <f t="shared" si="50"/>
        <v>0.00 (0.00)</v>
      </c>
    </row>
    <row r="690" spans="9:12" x14ac:dyDescent="0.25">
      <c r="I690" s="13" t="str">
        <f t="shared" si="47"/>
        <v/>
      </c>
      <c r="J690" s="13">
        <f t="shared" si="48"/>
        <v>0</v>
      </c>
      <c r="K690" s="14" t="str">
        <f t="shared" si="49"/>
        <v>0 (0)</v>
      </c>
      <c r="L690" s="14" t="str">
        <f t="shared" si="50"/>
        <v>0.00 (0.00)</v>
      </c>
    </row>
    <row r="691" spans="9:12" x14ac:dyDescent="0.25">
      <c r="I691" s="13" t="str">
        <f t="shared" si="47"/>
        <v/>
      </c>
      <c r="J691" s="13">
        <f t="shared" si="48"/>
        <v>0</v>
      </c>
      <c r="K691" s="14" t="str">
        <f t="shared" si="49"/>
        <v>0 (0)</v>
      </c>
      <c r="L691" s="14" t="str">
        <f t="shared" si="50"/>
        <v>0.00 (0.00)</v>
      </c>
    </row>
    <row r="692" spans="9:12" x14ac:dyDescent="0.25">
      <c r="I692" s="13" t="str">
        <f t="shared" si="47"/>
        <v/>
      </c>
      <c r="J692" s="13">
        <f t="shared" si="48"/>
        <v>0</v>
      </c>
      <c r="K692" s="14" t="str">
        <f t="shared" si="49"/>
        <v>0 (0)</v>
      </c>
      <c r="L692" s="14" t="str">
        <f t="shared" si="50"/>
        <v>0.00 (0.00)</v>
      </c>
    </row>
    <row r="693" spans="9:12" x14ac:dyDescent="0.25">
      <c r="I693" s="13" t="str">
        <f t="shared" si="47"/>
        <v/>
      </c>
      <c r="J693" s="13">
        <f t="shared" si="48"/>
        <v>0</v>
      </c>
      <c r="K693" s="14" t="str">
        <f t="shared" si="49"/>
        <v>0 (0)</v>
      </c>
      <c r="L693" s="14" t="str">
        <f t="shared" si="50"/>
        <v>0.00 (0.00)</v>
      </c>
    </row>
    <row r="694" spans="9:12" x14ac:dyDescent="0.25">
      <c r="I694" s="13" t="str">
        <f t="shared" si="47"/>
        <v/>
      </c>
      <c r="J694" s="13">
        <f t="shared" si="48"/>
        <v>0</v>
      </c>
      <c r="K694" s="14" t="str">
        <f t="shared" si="49"/>
        <v>0 (0)</v>
      </c>
      <c r="L694" s="14" t="str">
        <f t="shared" si="50"/>
        <v>0.00 (0.00)</v>
      </c>
    </row>
    <row r="695" spans="9:12" x14ac:dyDescent="0.25">
      <c r="I695" s="13" t="str">
        <f t="shared" si="47"/>
        <v/>
      </c>
      <c r="J695" s="13">
        <f t="shared" si="48"/>
        <v>0</v>
      </c>
      <c r="K695" s="14" t="str">
        <f t="shared" si="49"/>
        <v>0 (0)</v>
      </c>
      <c r="L695" s="14" t="str">
        <f t="shared" si="50"/>
        <v>0.00 (0.00)</v>
      </c>
    </row>
    <row r="696" spans="9:12" x14ac:dyDescent="0.25">
      <c r="I696" s="13" t="str">
        <f t="shared" si="47"/>
        <v/>
      </c>
      <c r="J696" s="13">
        <f t="shared" si="48"/>
        <v>0</v>
      </c>
      <c r="K696" s="14" t="str">
        <f t="shared" si="49"/>
        <v>0 (0)</v>
      </c>
      <c r="L696" s="14" t="str">
        <f t="shared" si="50"/>
        <v>0.00 (0.00)</v>
      </c>
    </row>
    <row r="697" spans="9:12" x14ac:dyDescent="0.25">
      <c r="I697" s="13" t="str">
        <f t="shared" si="47"/>
        <v/>
      </c>
      <c r="J697" s="13">
        <f t="shared" si="48"/>
        <v>0</v>
      </c>
      <c r="K697" s="14" t="str">
        <f t="shared" si="49"/>
        <v>0 (0)</v>
      </c>
      <c r="L697" s="14" t="str">
        <f t="shared" si="50"/>
        <v>0.00 (0.00)</v>
      </c>
    </row>
    <row r="698" spans="9:12" x14ac:dyDescent="0.25">
      <c r="I698" s="13" t="str">
        <f t="shared" si="47"/>
        <v/>
      </c>
      <c r="J698" s="13">
        <f t="shared" si="48"/>
        <v>0</v>
      </c>
      <c r="K698" s="14" t="str">
        <f t="shared" si="49"/>
        <v>0 (0)</v>
      </c>
      <c r="L698" s="14" t="str">
        <f t="shared" si="50"/>
        <v>0.00 (0.00)</v>
      </c>
    </row>
    <row r="699" spans="9:12" x14ac:dyDescent="0.25">
      <c r="I699" s="13" t="str">
        <f t="shared" si="47"/>
        <v/>
      </c>
      <c r="J699" s="13">
        <f t="shared" si="48"/>
        <v>0</v>
      </c>
      <c r="K699" s="14" t="str">
        <f t="shared" si="49"/>
        <v>0 (0)</v>
      </c>
      <c r="L699" s="14" t="str">
        <f t="shared" si="50"/>
        <v>0.00 (0.00)</v>
      </c>
    </row>
    <row r="700" spans="9:12" x14ac:dyDescent="0.25">
      <c r="I700" s="13" t="str">
        <f t="shared" si="47"/>
        <v/>
      </c>
      <c r="J700" s="13">
        <f t="shared" si="48"/>
        <v>0</v>
      </c>
      <c r="K700" s="14" t="str">
        <f t="shared" si="49"/>
        <v>0 (0)</v>
      </c>
      <c r="L700" s="14" t="str">
        <f t="shared" si="50"/>
        <v>0.00 (0.00)</v>
      </c>
    </row>
    <row r="701" spans="9:12" x14ac:dyDescent="0.25">
      <c r="I701" s="13" t="str">
        <f t="shared" si="47"/>
        <v/>
      </c>
      <c r="J701" s="13">
        <f t="shared" si="48"/>
        <v>0</v>
      </c>
      <c r="K701" s="14" t="str">
        <f t="shared" si="49"/>
        <v>0 (0)</v>
      </c>
      <c r="L701" s="14" t="str">
        <f t="shared" si="50"/>
        <v>0.00 (0.00)</v>
      </c>
    </row>
    <row r="702" spans="9:12" x14ac:dyDescent="0.25">
      <c r="I702" s="13" t="str">
        <f t="shared" si="47"/>
        <v/>
      </c>
      <c r="J702" s="13">
        <f t="shared" si="48"/>
        <v>0</v>
      </c>
      <c r="K702" s="14" t="str">
        <f t="shared" si="49"/>
        <v>0 (0)</v>
      </c>
      <c r="L702" s="14" t="str">
        <f t="shared" si="50"/>
        <v>0.00 (0.00)</v>
      </c>
    </row>
    <row r="703" spans="9:12" x14ac:dyDescent="0.25">
      <c r="I703" s="13" t="str">
        <f t="shared" si="47"/>
        <v/>
      </c>
      <c r="J703" s="13">
        <f t="shared" si="48"/>
        <v>0</v>
      </c>
      <c r="K703" s="14" t="str">
        <f t="shared" si="49"/>
        <v>0 (0)</v>
      </c>
      <c r="L703" s="14" t="str">
        <f t="shared" si="50"/>
        <v>0.00 (0.00)</v>
      </c>
    </row>
    <row r="704" spans="9:12" x14ac:dyDescent="0.25">
      <c r="I704" s="13" t="str">
        <f t="shared" si="47"/>
        <v/>
      </c>
      <c r="J704" s="13">
        <f t="shared" si="48"/>
        <v>0</v>
      </c>
      <c r="K704" s="14" t="str">
        <f t="shared" si="49"/>
        <v>0 (0)</v>
      </c>
      <c r="L704" s="14" t="str">
        <f t="shared" si="50"/>
        <v>0.00 (0.00)</v>
      </c>
    </row>
    <row r="705" spans="9:12" x14ac:dyDescent="0.25">
      <c r="I705" s="13" t="str">
        <f t="shared" si="47"/>
        <v/>
      </c>
      <c r="J705" s="13">
        <f t="shared" si="48"/>
        <v>0</v>
      </c>
      <c r="K705" s="14" t="str">
        <f t="shared" si="49"/>
        <v>0 (0)</v>
      </c>
      <c r="L705" s="14" t="str">
        <f t="shared" si="50"/>
        <v>0.00 (0.00)</v>
      </c>
    </row>
    <row r="706" spans="9:12" x14ac:dyDescent="0.25">
      <c r="I706" s="13" t="str">
        <f t="shared" si="47"/>
        <v/>
      </c>
      <c r="J706" s="13">
        <f t="shared" si="48"/>
        <v>0</v>
      </c>
      <c r="K706" s="14" t="str">
        <f t="shared" si="49"/>
        <v>0 (0)</v>
      </c>
      <c r="L706" s="14" t="str">
        <f t="shared" si="50"/>
        <v>0.00 (0.00)</v>
      </c>
    </row>
    <row r="707" spans="9:12" x14ac:dyDescent="0.25">
      <c r="I707" s="13" t="str">
        <f t="shared" si="47"/>
        <v/>
      </c>
      <c r="J707" s="13">
        <f t="shared" si="48"/>
        <v>0</v>
      </c>
      <c r="K707" s="14" t="str">
        <f t="shared" si="49"/>
        <v>0 (0)</v>
      </c>
      <c r="L707" s="14" t="str">
        <f t="shared" si="50"/>
        <v>0.00 (0.00)</v>
      </c>
    </row>
    <row r="708" spans="9:12" x14ac:dyDescent="0.25">
      <c r="I708" s="13" t="str">
        <f t="shared" si="47"/>
        <v/>
      </c>
      <c r="J708" s="13">
        <f t="shared" si="48"/>
        <v>0</v>
      </c>
      <c r="K708" s="14" t="str">
        <f t="shared" si="49"/>
        <v>0 (0)</v>
      </c>
      <c r="L708" s="14" t="str">
        <f t="shared" si="50"/>
        <v>0.00 (0.00)</v>
      </c>
    </row>
    <row r="709" spans="9:12" x14ac:dyDescent="0.25">
      <c r="I709" s="13" t="str">
        <f t="shared" si="47"/>
        <v/>
      </c>
      <c r="J709" s="13">
        <f t="shared" si="48"/>
        <v>0</v>
      </c>
      <c r="K709" s="14" t="str">
        <f t="shared" si="49"/>
        <v>0 (0)</v>
      </c>
      <c r="L709" s="14" t="str">
        <f t="shared" si="50"/>
        <v>0.00 (0.00)</v>
      </c>
    </row>
    <row r="710" spans="9:12" x14ac:dyDescent="0.25">
      <c r="I710" s="13" t="str">
        <f t="shared" si="47"/>
        <v/>
      </c>
      <c r="J710" s="13">
        <f t="shared" si="48"/>
        <v>0</v>
      </c>
      <c r="K710" s="14" t="str">
        <f t="shared" si="49"/>
        <v>0 (0)</v>
      </c>
      <c r="L710" s="14" t="str">
        <f t="shared" si="50"/>
        <v>0.00 (0.00)</v>
      </c>
    </row>
    <row r="711" spans="9:12" x14ac:dyDescent="0.25">
      <c r="I711" s="13" t="str">
        <f t="shared" ref="I711:I763" si="51">_xlfn.CONCAT(A711:C711)</f>
        <v/>
      </c>
      <c r="J711" s="13">
        <f t="shared" ref="J711:J763" si="52">D711</f>
        <v>0</v>
      </c>
      <c r="K711" s="14" t="str">
        <f t="shared" ref="K711:K763" si="53">TEXT(D711,"0")&amp;" ("&amp;TEXT(E711,"0")&amp;")"</f>
        <v>0 (0)</v>
      </c>
      <c r="L711" s="14" t="str">
        <f t="shared" ref="L711:L763" si="54">TEXT(D711,"0.00")&amp;" ("&amp;TEXT(E711,"0.00")&amp;")"</f>
        <v>0.00 (0.00)</v>
      </c>
    </row>
    <row r="712" spans="9:12" x14ac:dyDescent="0.25">
      <c r="I712" s="13" t="str">
        <f t="shared" si="51"/>
        <v/>
      </c>
      <c r="J712" s="13">
        <f t="shared" si="52"/>
        <v>0</v>
      </c>
      <c r="K712" s="14" t="str">
        <f t="shared" si="53"/>
        <v>0 (0)</v>
      </c>
      <c r="L712" s="14" t="str">
        <f t="shared" si="54"/>
        <v>0.00 (0.00)</v>
      </c>
    </row>
    <row r="713" spans="9:12" x14ac:dyDescent="0.25">
      <c r="I713" s="13" t="str">
        <f t="shared" si="51"/>
        <v/>
      </c>
      <c r="J713" s="13">
        <f t="shared" si="52"/>
        <v>0</v>
      </c>
      <c r="K713" s="14" t="str">
        <f t="shared" si="53"/>
        <v>0 (0)</v>
      </c>
      <c r="L713" s="14" t="str">
        <f t="shared" si="54"/>
        <v>0.00 (0.00)</v>
      </c>
    </row>
    <row r="714" spans="9:12" x14ac:dyDescent="0.25">
      <c r="I714" s="13" t="str">
        <f t="shared" si="51"/>
        <v/>
      </c>
      <c r="J714" s="13">
        <f t="shared" si="52"/>
        <v>0</v>
      </c>
      <c r="K714" s="14" t="str">
        <f t="shared" si="53"/>
        <v>0 (0)</v>
      </c>
      <c r="L714" s="14" t="str">
        <f t="shared" si="54"/>
        <v>0.00 (0.00)</v>
      </c>
    </row>
    <row r="715" spans="9:12" x14ac:dyDescent="0.25">
      <c r="I715" s="13" t="str">
        <f t="shared" si="51"/>
        <v/>
      </c>
      <c r="J715" s="13">
        <f t="shared" si="52"/>
        <v>0</v>
      </c>
      <c r="K715" s="14" t="str">
        <f t="shared" si="53"/>
        <v>0 (0)</v>
      </c>
      <c r="L715" s="14" t="str">
        <f t="shared" si="54"/>
        <v>0.00 (0.00)</v>
      </c>
    </row>
    <row r="716" spans="9:12" x14ac:dyDescent="0.25">
      <c r="I716" s="13" t="str">
        <f t="shared" si="51"/>
        <v/>
      </c>
      <c r="J716" s="13">
        <f t="shared" si="52"/>
        <v>0</v>
      </c>
      <c r="K716" s="14" t="str">
        <f t="shared" si="53"/>
        <v>0 (0)</v>
      </c>
      <c r="L716" s="14" t="str">
        <f t="shared" si="54"/>
        <v>0.00 (0.00)</v>
      </c>
    </row>
    <row r="717" spans="9:12" x14ac:dyDescent="0.25">
      <c r="I717" s="13" t="str">
        <f t="shared" si="51"/>
        <v/>
      </c>
      <c r="J717" s="13">
        <f t="shared" si="52"/>
        <v>0</v>
      </c>
      <c r="K717" s="14" t="str">
        <f t="shared" si="53"/>
        <v>0 (0)</v>
      </c>
      <c r="L717" s="14" t="str">
        <f t="shared" si="54"/>
        <v>0.00 (0.00)</v>
      </c>
    </row>
    <row r="718" spans="9:12" x14ac:dyDescent="0.25">
      <c r="I718" s="13" t="str">
        <f t="shared" si="51"/>
        <v/>
      </c>
      <c r="J718" s="13">
        <f t="shared" si="52"/>
        <v>0</v>
      </c>
      <c r="K718" s="14" t="str">
        <f t="shared" si="53"/>
        <v>0 (0)</v>
      </c>
      <c r="L718" s="14" t="str">
        <f t="shared" si="54"/>
        <v>0.00 (0.00)</v>
      </c>
    </row>
    <row r="719" spans="9:12" x14ac:dyDescent="0.25">
      <c r="I719" s="13" t="str">
        <f t="shared" si="51"/>
        <v/>
      </c>
      <c r="J719" s="13">
        <f t="shared" si="52"/>
        <v>0</v>
      </c>
      <c r="K719" s="14" t="str">
        <f t="shared" si="53"/>
        <v>0 (0)</v>
      </c>
      <c r="L719" s="14" t="str">
        <f t="shared" si="54"/>
        <v>0.00 (0.00)</v>
      </c>
    </row>
    <row r="720" spans="9:12" x14ac:dyDescent="0.25">
      <c r="I720" s="13" t="str">
        <f t="shared" si="51"/>
        <v/>
      </c>
      <c r="J720" s="13">
        <f t="shared" si="52"/>
        <v>0</v>
      </c>
      <c r="K720" s="14" t="str">
        <f t="shared" si="53"/>
        <v>0 (0)</v>
      </c>
      <c r="L720" s="14" t="str">
        <f t="shared" si="54"/>
        <v>0.00 (0.00)</v>
      </c>
    </row>
    <row r="721" spans="9:12" x14ac:dyDescent="0.25">
      <c r="I721" s="13" t="str">
        <f t="shared" si="51"/>
        <v/>
      </c>
      <c r="J721" s="13">
        <f t="shared" si="52"/>
        <v>0</v>
      </c>
      <c r="K721" s="14" t="str">
        <f t="shared" si="53"/>
        <v>0 (0)</v>
      </c>
      <c r="L721" s="14" t="str">
        <f t="shared" si="54"/>
        <v>0.00 (0.00)</v>
      </c>
    </row>
    <row r="722" spans="9:12" x14ac:dyDescent="0.25">
      <c r="I722" s="13" t="str">
        <f t="shared" si="51"/>
        <v/>
      </c>
      <c r="J722" s="13">
        <f t="shared" si="52"/>
        <v>0</v>
      </c>
      <c r="K722" s="14" t="str">
        <f t="shared" si="53"/>
        <v>0 (0)</v>
      </c>
      <c r="L722" s="14" t="str">
        <f t="shared" si="54"/>
        <v>0.00 (0.00)</v>
      </c>
    </row>
    <row r="723" spans="9:12" x14ac:dyDescent="0.25">
      <c r="I723" s="13" t="str">
        <f t="shared" si="51"/>
        <v/>
      </c>
      <c r="J723" s="13">
        <f t="shared" si="52"/>
        <v>0</v>
      </c>
      <c r="K723" s="14" t="str">
        <f t="shared" si="53"/>
        <v>0 (0)</v>
      </c>
      <c r="L723" s="14" t="str">
        <f t="shared" si="54"/>
        <v>0.00 (0.00)</v>
      </c>
    </row>
    <row r="724" spans="9:12" x14ac:dyDescent="0.25">
      <c r="I724" s="13" t="str">
        <f t="shared" si="51"/>
        <v/>
      </c>
      <c r="J724" s="13">
        <f t="shared" si="52"/>
        <v>0</v>
      </c>
      <c r="K724" s="14" t="str">
        <f t="shared" si="53"/>
        <v>0 (0)</v>
      </c>
      <c r="L724" s="14" t="str">
        <f t="shared" si="54"/>
        <v>0.00 (0.00)</v>
      </c>
    </row>
    <row r="725" spans="9:12" x14ac:dyDescent="0.25">
      <c r="I725" s="13" t="str">
        <f t="shared" si="51"/>
        <v/>
      </c>
      <c r="J725" s="13">
        <f t="shared" si="52"/>
        <v>0</v>
      </c>
      <c r="K725" s="14" t="str">
        <f t="shared" si="53"/>
        <v>0 (0)</v>
      </c>
      <c r="L725" s="14" t="str">
        <f t="shared" si="54"/>
        <v>0.00 (0.00)</v>
      </c>
    </row>
    <row r="726" spans="9:12" x14ac:dyDescent="0.25">
      <c r="I726" s="13" t="str">
        <f t="shared" si="51"/>
        <v/>
      </c>
      <c r="J726" s="13">
        <f t="shared" si="52"/>
        <v>0</v>
      </c>
      <c r="K726" s="14" t="str">
        <f t="shared" si="53"/>
        <v>0 (0)</v>
      </c>
      <c r="L726" s="14" t="str">
        <f t="shared" si="54"/>
        <v>0.00 (0.00)</v>
      </c>
    </row>
    <row r="727" spans="9:12" x14ac:dyDescent="0.25">
      <c r="I727" s="13" t="str">
        <f t="shared" si="51"/>
        <v/>
      </c>
      <c r="J727" s="13">
        <f t="shared" si="52"/>
        <v>0</v>
      </c>
      <c r="K727" s="14" t="str">
        <f t="shared" si="53"/>
        <v>0 (0)</v>
      </c>
      <c r="L727" s="14" t="str">
        <f t="shared" si="54"/>
        <v>0.00 (0.00)</v>
      </c>
    </row>
    <row r="728" spans="9:12" x14ac:dyDescent="0.25">
      <c r="I728" s="13" t="str">
        <f t="shared" si="51"/>
        <v/>
      </c>
      <c r="J728" s="13">
        <f t="shared" si="52"/>
        <v>0</v>
      </c>
      <c r="K728" s="14" t="str">
        <f t="shared" si="53"/>
        <v>0 (0)</v>
      </c>
      <c r="L728" s="14" t="str">
        <f t="shared" si="54"/>
        <v>0.00 (0.00)</v>
      </c>
    </row>
    <row r="729" spans="9:12" x14ac:dyDescent="0.25">
      <c r="I729" s="13" t="str">
        <f t="shared" si="51"/>
        <v/>
      </c>
      <c r="J729" s="13">
        <f t="shared" si="52"/>
        <v>0</v>
      </c>
      <c r="K729" s="14" t="str">
        <f t="shared" si="53"/>
        <v>0 (0)</v>
      </c>
      <c r="L729" s="14" t="str">
        <f t="shared" si="54"/>
        <v>0.00 (0.00)</v>
      </c>
    </row>
    <row r="730" spans="9:12" x14ac:dyDescent="0.25">
      <c r="I730" s="13" t="str">
        <f t="shared" si="51"/>
        <v/>
      </c>
      <c r="J730" s="13">
        <f t="shared" si="52"/>
        <v>0</v>
      </c>
      <c r="K730" s="14" t="str">
        <f t="shared" si="53"/>
        <v>0 (0)</v>
      </c>
      <c r="L730" s="14" t="str">
        <f t="shared" si="54"/>
        <v>0.00 (0.00)</v>
      </c>
    </row>
    <row r="731" spans="9:12" x14ac:dyDescent="0.25">
      <c r="I731" s="13" t="str">
        <f t="shared" si="51"/>
        <v/>
      </c>
      <c r="J731" s="13">
        <f t="shared" si="52"/>
        <v>0</v>
      </c>
      <c r="K731" s="14" t="str">
        <f t="shared" si="53"/>
        <v>0 (0)</v>
      </c>
      <c r="L731" s="14" t="str">
        <f t="shared" si="54"/>
        <v>0.00 (0.00)</v>
      </c>
    </row>
    <row r="732" spans="9:12" x14ac:dyDescent="0.25">
      <c r="I732" s="13" t="str">
        <f t="shared" si="51"/>
        <v/>
      </c>
      <c r="J732" s="13">
        <f t="shared" si="52"/>
        <v>0</v>
      </c>
      <c r="K732" s="14" t="str">
        <f t="shared" si="53"/>
        <v>0 (0)</v>
      </c>
      <c r="L732" s="14" t="str">
        <f t="shared" si="54"/>
        <v>0.00 (0.00)</v>
      </c>
    </row>
    <row r="733" spans="9:12" x14ac:dyDescent="0.25">
      <c r="I733" s="13" t="str">
        <f t="shared" si="51"/>
        <v/>
      </c>
      <c r="J733" s="13">
        <f t="shared" si="52"/>
        <v>0</v>
      </c>
      <c r="K733" s="14" t="str">
        <f t="shared" si="53"/>
        <v>0 (0)</v>
      </c>
      <c r="L733" s="14" t="str">
        <f t="shared" si="54"/>
        <v>0.00 (0.00)</v>
      </c>
    </row>
    <row r="734" spans="9:12" x14ac:dyDescent="0.25">
      <c r="I734" s="13" t="str">
        <f t="shared" si="51"/>
        <v/>
      </c>
      <c r="J734" s="13">
        <f t="shared" si="52"/>
        <v>0</v>
      </c>
      <c r="K734" s="14" t="str">
        <f t="shared" si="53"/>
        <v>0 (0)</v>
      </c>
      <c r="L734" s="14" t="str">
        <f t="shared" si="54"/>
        <v>0.00 (0.00)</v>
      </c>
    </row>
    <row r="735" spans="9:12" x14ac:dyDescent="0.25">
      <c r="I735" s="13" t="str">
        <f t="shared" si="51"/>
        <v/>
      </c>
      <c r="J735" s="13">
        <f t="shared" si="52"/>
        <v>0</v>
      </c>
      <c r="K735" s="14" t="str">
        <f t="shared" si="53"/>
        <v>0 (0)</v>
      </c>
      <c r="L735" s="14" t="str">
        <f t="shared" si="54"/>
        <v>0.00 (0.00)</v>
      </c>
    </row>
    <row r="736" spans="9:12" x14ac:dyDescent="0.25">
      <c r="I736" s="13" t="str">
        <f t="shared" si="51"/>
        <v/>
      </c>
      <c r="J736" s="13">
        <f t="shared" si="52"/>
        <v>0</v>
      </c>
      <c r="K736" s="14" t="str">
        <f t="shared" si="53"/>
        <v>0 (0)</v>
      </c>
      <c r="L736" s="14" t="str">
        <f t="shared" si="54"/>
        <v>0.00 (0.00)</v>
      </c>
    </row>
    <row r="737" spans="9:12" x14ac:dyDescent="0.25">
      <c r="I737" s="13" t="str">
        <f t="shared" si="51"/>
        <v/>
      </c>
      <c r="J737" s="13">
        <f t="shared" si="52"/>
        <v>0</v>
      </c>
      <c r="K737" s="14" t="str">
        <f t="shared" si="53"/>
        <v>0 (0)</v>
      </c>
      <c r="L737" s="14" t="str">
        <f t="shared" si="54"/>
        <v>0.00 (0.00)</v>
      </c>
    </row>
    <row r="738" spans="9:12" x14ac:dyDescent="0.25">
      <c r="I738" s="13" t="str">
        <f t="shared" si="51"/>
        <v/>
      </c>
      <c r="J738" s="13">
        <f t="shared" si="52"/>
        <v>0</v>
      </c>
      <c r="K738" s="14" t="str">
        <f t="shared" si="53"/>
        <v>0 (0)</v>
      </c>
      <c r="L738" s="14" t="str">
        <f t="shared" si="54"/>
        <v>0.00 (0.00)</v>
      </c>
    </row>
    <row r="739" spans="9:12" x14ac:dyDescent="0.25">
      <c r="I739" s="13" t="str">
        <f t="shared" si="51"/>
        <v/>
      </c>
      <c r="J739" s="13">
        <f t="shared" si="52"/>
        <v>0</v>
      </c>
      <c r="K739" s="14" t="str">
        <f t="shared" si="53"/>
        <v>0 (0)</v>
      </c>
      <c r="L739" s="14" t="str">
        <f t="shared" si="54"/>
        <v>0.00 (0.00)</v>
      </c>
    </row>
    <row r="740" spans="9:12" x14ac:dyDescent="0.25">
      <c r="I740" s="13" t="str">
        <f t="shared" si="51"/>
        <v/>
      </c>
      <c r="J740" s="13">
        <f t="shared" si="52"/>
        <v>0</v>
      </c>
      <c r="K740" s="14" t="str">
        <f t="shared" si="53"/>
        <v>0 (0)</v>
      </c>
      <c r="L740" s="14" t="str">
        <f t="shared" si="54"/>
        <v>0.00 (0.00)</v>
      </c>
    </row>
    <row r="741" spans="9:12" x14ac:dyDescent="0.25">
      <c r="I741" s="13" t="str">
        <f t="shared" si="51"/>
        <v/>
      </c>
      <c r="J741" s="13">
        <f t="shared" si="52"/>
        <v>0</v>
      </c>
      <c r="K741" s="14" t="str">
        <f t="shared" si="53"/>
        <v>0 (0)</v>
      </c>
      <c r="L741" s="14" t="str">
        <f t="shared" si="54"/>
        <v>0.00 (0.00)</v>
      </c>
    </row>
    <row r="742" spans="9:12" x14ac:dyDescent="0.25">
      <c r="I742" s="13" t="str">
        <f t="shared" si="51"/>
        <v/>
      </c>
      <c r="J742" s="13">
        <f t="shared" si="52"/>
        <v>0</v>
      </c>
      <c r="K742" s="14" t="str">
        <f t="shared" si="53"/>
        <v>0 (0)</v>
      </c>
      <c r="L742" s="14" t="str">
        <f t="shared" si="54"/>
        <v>0.00 (0.00)</v>
      </c>
    </row>
    <row r="743" spans="9:12" x14ac:dyDescent="0.25">
      <c r="I743" s="13" t="str">
        <f t="shared" si="51"/>
        <v/>
      </c>
      <c r="J743" s="13">
        <f t="shared" si="52"/>
        <v>0</v>
      </c>
      <c r="K743" s="14" t="str">
        <f t="shared" si="53"/>
        <v>0 (0)</v>
      </c>
      <c r="L743" s="14" t="str">
        <f t="shared" si="54"/>
        <v>0.00 (0.00)</v>
      </c>
    </row>
    <row r="744" spans="9:12" x14ac:dyDescent="0.25">
      <c r="I744" s="13" t="str">
        <f t="shared" si="51"/>
        <v/>
      </c>
      <c r="J744" s="13">
        <f t="shared" si="52"/>
        <v>0</v>
      </c>
      <c r="K744" s="14" t="str">
        <f t="shared" si="53"/>
        <v>0 (0)</v>
      </c>
      <c r="L744" s="14" t="str">
        <f t="shared" si="54"/>
        <v>0.00 (0.00)</v>
      </c>
    </row>
    <row r="745" spans="9:12" x14ac:dyDescent="0.25">
      <c r="I745" s="13" t="str">
        <f t="shared" si="51"/>
        <v/>
      </c>
      <c r="J745" s="13">
        <f t="shared" si="52"/>
        <v>0</v>
      </c>
      <c r="K745" s="14" t="str">
        <f t="shared" si="53"/>
        <v>0 (0)</v>
      </c>
      <c r="L745" s="14" t="str">
        <f t="shared" si="54"/>
        <v>0.00 (0.00)</v>
      </c>
    </row>
    <row r="746" spans="9:12" x14ac:dyDescent="0.25">
      <c r="I746" s="13" t="str">
        <f t="shared" si="51"/>
        <v/>
      </c>
      <c r="J746" s="13">
        <f t="shared" si="52"/>
        <v>0</v>
      </c>
      <c r="K746" s="14" t="str">
        <f t="shared" si="53"/>
        <v>0 (0)</v>
      </c>
      <c r="L746" s="14" t="str">
        <f t="shared" si="54"/>
        <v>0.00 (0.00)</v>
      </c>
    </row>
    <row r="747" spans="9:12" x14ac:dyDescent="0.25">
      <c r="I747" s="13" t="str">
        <f t="shared" si="51"/>
        <v/>
      </c>
      <c r="J747" s="13">
        <f t="shared" si="52"/>
        <v>0</v>
      </c>
      <c r="K747" s="14" t="str">
        <f t="shared" si="53"/>
        <v>0 (0)</v>
      </c>
      <c r="L747" s="14" t="str">
        <f t="shared" si="54"/>
        <v>0.00 (0.00)</v>
      </c>
    </row>
    <row r="748" spans="9:12" x14ac:dyDescent="0.25">
      <c r="I748" s="13" t="str">
        <f t="shared" si="51"/>
        <v/>
      </c>
      <c r="J748" s="13">
        <f t="shared" si="52"/>
        <v>0</v>
      </c>
      <c r="K748" s="14" t="str">
        <f t="shared" si="53"/>
        <v>0 (0)</v>
      </c>
      <c r="L748" s="14" t="str">
        <f t="shared" si="54"/>
        <v>0.00 (0.00)</v>
      </c>
    </row>
    <row r="749" spans="9:12" x14ac:dyDescent="0.25">
      <c r="I749" s="13" t="str">
        <f t="shared" si="51"/>
        <v/>
      </c>
      <c r="J749" s="13">
        <f t="shared" si="52"/>
        <v>0</v>
      </c>
      <c r="K749" s="14" t="str">
        <f t="shared" si="53"/>
        <v>0 (0)</v>
      </c>
      <c r="L749" s="14" t="str">
        <f t="shared" si="54"/>
        <v>0.00 (0.00)</v>
      </c>
    </row>
    <row r="750" spans="9:12" x14ac:dyDescent="0.25">
      <c r="I750" s="13" t="str">
        <f t="shared" si="51"/>
        <v/>
      </c>
      <c r="J750" s="13">
        <f t="shared" si="52"/>
        <v>0</v>
      </c>
      <c r="K750" s="14" t="str">
        <f t="shared" si="53"/>
        <v>0 (0)</v>
      </c>
      <c r="L750" s="14" t="str">
        <f t="shared" si="54"/>
        <v>0.00 (0.00)</v>
      </c>
    </row>
    <row r="751" spans="9:12" x14ac:dyDescent="0.25">
      <c r="I751" s="13" t="str">
        <f t="shared" si="51"/>
        <v/>
      </c>
      <c r="J751" s="13">
        <f t="shared" si="52"/>
        <v>0</v>
      </c>
      <c r="K751" s="14" t="str">
        <f t="shared" si="53"/>
        <v>0 (0)</v>
      </c>
      <c r="L751" s="14" t="str">
        <f t="shared" si="54"/>
        <v>0.00 (0.00)</v>
      </c>
    </row>
    <row r="752" spans="9:12" x14ac:dyDescent="0.25">
      <c r="I752" s="13" t="str">
        <f t="shared" si="51"/>
        <v/>
      </c>
      <c r="J752" s="13">
        <f t="shared" si="52"/>
        <v>0</v>
      </c>
      <c r="K752" s="14" t="str">
        <f t="shared" si="53"/>
        <v>0 (0)</v>
      </c>
      <c r="L752" s="14" t="str">
        <f t="shared" si="54"/>
        <v>0.00 (0.00)</v>
      </c>
    </row>
    <row r="753" spans="9:12" x14ac:dyDescent="0.25">
      <c r="I753" s="13" t="str">
        <f t="shared" si="51"/>
        <v/>
      </c>
      <c r="J753" s="13">
        <f t="shared" si="52"/>
        <v>0</v>
      </c>
      <c r="K753" s="14" t="str">
        <f t="shared" si="53"/>
        <v>0 (0)</v>
      </c>
      <c r="L753" s="14" t="str">
        <f t="shared" si="54"/>
        <v>0.00 (0.00)</v>
      </c>
    </row>
    <row r="754" spans="9:12" x14ac:dyDescent="0.25">
      <c r="I754" s="13" t="str">
        <f t="shared" si="51"/>
        <v/>
      </c>
      <c r="J754" s="13">
        <f t="shared" si="52"/>
        <v>0</v>
      </c>
      <c r="K754" s="14" t="str">
        <f t="shared" si="53"/>
        <v>0 (0)</v>
      </c>
      <c r="L754" s="14" t="str">
        <f t="shared" si="54"/>
        <v>0.00 (0.00)</v>
      </c>
    </row>
    <row r="755" spans="9:12" x14ac:dyDescent="0.25">
      <c r="I755" s="13" t="str">
        <f t="shared" si="51"/>
        <v/>
      </c>
      <c r="J755" s="13">
        <f t="shared" si="52"/>
        <v>0</v>
      </c>
      <c r="K755" s="14" t="str">
        <f t="shared" si="53"/>
        <v>0 (0)</v>
      </c>
      <c r="L755" s="14" t="str">
        <f t="shared" si="54"/>
        <v>0.00 (0.00)</v>
      </c>
    </row>
    <row r="756" spans="9:12" x14ac:dyDescent="0.25">
      <c r="I756" s="13" t="str">
        <f t="shared" si="51"/>
        <v/>
      </c>
      <c r="J756" s="13">
        <f t="shared" si="52"/>
        <v>0</v>
      </c>
      <c r="K756" s="14" t="str">
        <f t="shared" si="53"/>
        <v>0 (0)</v>
      </c>
      <c r="L756" s="14" t="str">
        <f t="shared" si="54"/>
        <v>0.00 (0.00)</v>
      </c>
    </row>
    <row r="757" spans="9:12" x14ac:dyDescent="0.25">
      <c r="I757" s="13" t="str">
        <f t="shared" si="51"/>
        <v/>
      </c>
      <c r="J757" s="13">
        <f t="shared" si="52"/>
        <v>0</v>
      </c>
      <c r="K757" s="14" t="str">
        <f t="shared" si="53"/>
        <v>0 (0)</v>
      </c>
      <c r="L757" s="14" t="str">
        <f t="shared" si="54"/>
        <v>0.00 (0.00)</v>
      </c>
    </row>
    <row r="758" spans="9:12" x14ac:dyDescent="0.25">
      <c r="I758" s="13" t="str">
        <f t="shared" si="51"/>
        <v/>
      </c>
      <c r="J758" s="13">
        <f t="shared" si="52"/>
        <v>0</v>
      </c>
      <c r="K758" s="14" t="str">
        <f t="shared" si="53"/>
        <v>0 (0)</v>
      </c>
      <c r="L758" s="14" t="str">
        <f t="shared" si="54"/>
        <v>0.00 (0.00)</v>
      </c>
    </row>
    <row r="759" spans="9:12" x14ac:dyDescent="0.25">
      <c r="I759" s="13" t="str">
        <f t="shared" si="51"/>
        <v/>
      </c>
      <c r="J759" s="13">
        <f t="shared" si="52"/>
        <v>0</v>
      </c>
      <c r="K759" s="14" t="str">
        <f t="shared" si="53"/>
        <v>0 (0)</v>
      </c>
      <c r="L759" s="14" t="str">
        <f t="shared" si="54"/>
        <v>0.00 (0.00)</v>
      </c>
    </row>
    <row r="760" spans="9:12" x14ac:dyDescent="0.25">
      <c r="I760" s="13" t="str">
        <f t="shared" si="51"/>
        <v/>
      </c>
      <c r="J760" s="13">
        <f t="shared" si="52"/>
        <v>0</v>
      </c>
      <c r="K760" s="14" t="str">
        <f t="shared" si="53"/>
        <v>0 (0)</v>
      </c>
      <c r="L760" s="14" t="str">
        <f t="shared" si="54"/>
        <v>0.00 (0.00)</v>
      </c>
    </row>
    <row r="761" spans="9:12" x14ac:dyDescent="0.25">
      <c r="I761" s="13" t="str">
        <f t="shared" si="51"/>
        <v/>
      </c>
      <c r="J761" s="13">
        <f t="shared" si="52"/>
        <v>0</v>
      </c>
      <c r="K761" s="14" t="str">
        <f t="shared" si="53"/>
        <v>0 (0)</v>
      </c>
      <c r="L761" s="14" t="str">
        <f t="shared" si="54"/>
        <v>0.00 (0.00)</v>
      </c>
    </row>
    <row r="762" spans="9:12" x14ac:dyDescent="0.25">
      <c r="I762" s="13" t="str">
        <f t="shared" si="51"/>
        <v/>
      </c>
      <c r="J762" s="13">
        <f t="shared" si="52"/>
        <v>0</v>
      </c>
      <c r="K762" s="14" t="str">
        <f t="shared" si="53"/>
        <v>0 (0)</v>
      </c>
      <c r="L762" s="14" t="str">
        <f t="shared" si="54"/>
        <v>0.00 (0.00)</v>
      </c>
    </row>
    <row r="763" spans="9:12" x14ac:dyDescent="0.25">
      <c r="I763" s="13" t="str">
        <f t="shared" si="51"/>
        <v/>
      </c>
      <c r="J763" s="13">
        <f t="shared" si="52"/>
        <v>0</v>
      </c>
      <c r="K763" s="14" t="str">
        <f t="shared" si="53"/>
        <v>0 (0)</v>
      </c>
      <c r="L763" s="14" t="str">
        <f t="shared" si="54"/>
        <v>0.00 (0.00)</v>
      </c>
    </row>
  </sheetData>
  <autoFilter ref="A1:E495" xr:uid="{00000000-0001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D8D95627-F0E9-49A4-9C4D-A828D5AE8D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Tsiboe, Francis - REE-ERS</dc:creator>
  <cp:lastModifiedBy>Francis Tsiboe</cp:lastModifiedBy>
  <dcterms:created xsi:type="dcterms:W3CDTF">2015-06-05T18:17:20Z</dcterms:created>
  <dcterms:modified xsi:type="dcterms:W3CDTF">2025-12-11T23:33:12Z</dcterms:modified>
</cp:coreProperties>
</file>